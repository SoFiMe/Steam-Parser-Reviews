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Отзывы" sheetId="1" state="visible" r:id="rId1"/>
    <sheet name="Статистика по языкам"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5"/>
  <sheetViews>
    <sheetView workbookViewId="0">
      <selection activeCell="A1" sqref="A1"/>
    </sheetView>
  </sheetViews>
  <sheetFormatPr baseColWidth="8" defaultRowHeight="15"/>
  <cols>
    <col width="50" customWidth="1" min="1" max="1"/>
    <col width="50" customWidth="1" min="2" max="2"/>
    <col width="15" customWidth="1" min="3" max="3"/>
    <col width="11" customWidth="1" min="4" max="4"/>
    <col width="21" customWidth="1" min="5" max="5"/>
    <col width="9" customWidth="1" min="6" max="6"/>
    <col width="7" customWidth="1" min="7" max="7"/>
    <col width="12" customWidth="1" min="8" max="8"/>
    <col width="16" customWidth="1" min="9" max="9"/>
    <col width="16" customWidth="1" min="10" max="10"/>
  </cols>
  <sheetData>
    <row r="1">
      <c r="A1" t="inlineStr">
        <is>
          <t>Ссылка на отзыв</t>
        </is>
      </c>
      <c r="B1" t="inlineStr">
        <is>
          <t>Отзыв</t>
        </is>
      </c>
      <c r="C1" t="inlineStr">
        <is>
          <t>Тип отзыва</t>
        </is>
      </c>
      <c r="D1" t="inlineStr">
        <is>
          <t>Язык</t>
        </is>
      </c>
      <c r="E1" t="inlineStr">
        <is>
          <t>Дата создания</t>
        </is>
      </c>
      <c r="F1" t="inlineStr">
        <is>
          <t>Helpful</t>
        </is>
      </c>
      <c r="G1" t="inlineStr">
        <is>
          <t>Funny</t>
        </is>
      </c>
      <c r="H1" t="inlineStr">
        <is>
          <t>Кол-во игр</t>
        </is>
      </c>
      <c r="I1" t="inlineStr">
        <is>
          <t>Кол-во отзывов</t>
        </is>
      </c>
      <c r="J1" t="inlineStr">
        <is>
          <t>Часов наиграно</t>
        </is>
      </c>
    </row>
    <row r="2">
      <c r="A2">
        <f>HYPERLINK("https://steamcommunity.com/profiles/76561198040986499/recommended/4178020/#review_230784590", "76561198040986499")</f>
        <v/>
      </c>
      <c r="B2" t="inlineStr">
        <is>
          <t xml:space="preserve">I think its important to keep the Price and Dev scale in mind of this game. 
I feel this game is fine for it's price point, and I'm not looking to be overly critical, but as a point of feedback for the dev's future games, and for people interested in trying it, I just wanted to give my experience and perspective of some issues I had with the game. :) 
Ultimately, if you're buying this game because you enjoy fishing I feel it's a bit shallow?  
There's a handful of Mini games, it feels as if the mini game is selected at random when you catch a fish. They don't scale in difficulty over the course of the game. The Minigame you play in the first 5 minutes of the game are the same you play at the end of the game. 
On top of this, if you enjoy fishing from the perspective of Completing a Catalogue, this game has that... but I think again, it just is kind of lacking. I personally really enjoy Conditional Fishing. Catch something at night, under X weather effect, when Y event happens, etc. I think it just gives more agency in terms of chasing a goal.  This game has none of that. Each Region has 8-10 Fish to catch with a flat % Catch rate, and you either catch it with your rod or with a timed trap.  The problem here I feel is the trap catches fish in bulk, so you really don't even notice when you catch something new since its stacked on top of 10 other fish. 
Overall I just found the catalogue not really that interesting or satisfying to complete, it was just something I did in a few hours and only target farmed like 3 fish to finish as everything else was just collected pretty passively. 
I feel adding Shiny, event fish, conditional fish, specific bait types to catch different fish, Just something where you feel you're taking more of an active role in collecting a catalogue would make it feel way better. I like the idea of different mini games, but I wonder if having them unique to each zone would be better, or just having Legendary fish use a unique Minigame so you notice when you're fighting a rare catch. 
However, past the fishing, the much larger part of this game in my opinion is the Idle/Incremental side of the game. I feel after a few hours, Fishing starts to not really feel worth your time, which is kind of silly in a game about fishing? This game ultimately is all about making Money to progress upgrades, increase your Research rate and unlock new things. But actually Fishing really just isn't that profitable.
The point of the Fish is to fill the Fish tanks which gives you a passive income for each customer in your store. This quickly becomes the Majority of the money you're making and managing the shop overshadows the actual Fishing side of the game. 
The game also uses an Ascension system to reset progress and leverage Meta Progression. However, I think this is kind of where I feel the game starts to fall apart. The game in the later stages are really poorly balanced and planned out. You can easily unlock everything without ever Ascending, and if you play for a few hours on your first Ascension you can unlock everything besides Offline passives instantly, making the point of ascending again feel kind of pointless? 
On top of this, once you reach the end of the game and you're just chasing the last few achievements, your income quickly plateaus where doing anything active in the game feels completely pointless. The last Achievement I have is to earn 1 trillion dollars.  Right now, I have a passive income of 42 Million per Minute,  If I were to go and catch a fish, the best selling ones go for around 21 Million. So I might be able to double my income, but when we stop to look at how the numbers work... At my current rate of income, it would take about 400 hours to reach 1 trillion. So that's 200 hours of grinding actively to hit the end.  
All upgrades currently run me over 1 billion, and when you do the math it would take over 10 hours for the upgrade to become profitable.
Ascending does give you a multiplier, but it really feels pretty small all things considered and completely resetting progress feels questionable if it would be worth it. 
Just as an example, it cost me 207million to upgrade my tank capacity by 1, doing so, putting the most valuable 1 weight fish into the tank, increases my profit by 0.39 Million per minute. So in 530 minutes, it would become profitable to have made that choice. 
Ultimately what I'm really saying is just that I think this game just scales really poorly. You can rush through and unlock everything in 4-6 hours, and then to actually 100% the game, the last achievement suddenly asks you to invest 200-400 more hours in.
Even if I'm missing something here, I think the real point is that its just not a really interesting system to half afk, cleaning tanks every 20 minutes for the next 2 weeks to earn an achievement.  The game has the idea of Synergies within a tank with provide a multiplier, but the value only applies to the fish within the synergy, and is out preformed by just spamming 1 higher value fish.  I think this bonus should apply to the whole tank, or even go further and say the whole room. If you have a room dedicated to all ocean fish, that should be a bonus. If you have Ocean synergies within each tank that should be a stacking bonus. Giving more things to tinker with and work towards would be a nice way to help scale. 
And on top of that, Research quickly becomes pointless. Either having it convert into money, or instead allowing you in the end game to upgrade zones themselves so that every area you visit could reach the same level of value, allowing you to use all the different synergies and find set ups that could be worth more would be more interesting then just spamming the same thing in every tank. 
Just in closing, again I do think for its price, this game is 100% fine, and I hope this didn't come off as too mean or critical. I wanted this to be more constructive on how they could improve the game, or ways to make the next game better. I think it was fun for a few hours, but I think there's just a lot of room to tighten up and fix the experience to make it generally better then what it currently is. &lt;3 
</t>
        </is>
      </c>
      <c r="C2" t="inlineStr">
        <is>
          <t>Положительный</t>
        </is>
      </c>
      <c r="D2" t="inlineStr">
        <is>
          <t>english</t>
        </is>
      </c>
      <c r="E2" t="inlineStr">
        <is>
          <t>2026-07-19 01:27:10</t>
        </is>
      </c>
      <c r="F2" t="n">
        <v>36</v>
      </c>
      <c r="G2" t="n">
        <v>0</v>
      </c>
      <c r="H2" t="n">
        <v>0</v>
      </c>
      <c r="I2" t="n">
        <v>12</v>
      </c>
      <c r="J2" t="n">
        <v>9.68</v>
      </c>
    </row>
    <row r="3">
      <c r="A3">
        <f>HYPERLINK("https://steamcommunity.com/profiles/76561199100288120/recommended/4178020/#review_230797758", "76561199100288120")</f>
        <v/>
      </c>
      <c r="B3" t="inlineStr">
        <is>
          <t xml:space="preserve">Big fan of both fishing and incremental games which is why I got this game. This game was heavily underwhelming in both aspects. If you like cozy idler games this is definitely the game for you
Pros:
1. In depth tank decorating and cleaning system
2. Fishing minigames are mostly unique and interesting, and are not difficult to fail
3. The pixel art for the fishing locations and the fish themselves are great and visually appetizing
4. Music is original and fits the vibe of the game
Cons:
1. Only 6 fishing areas and 53 total fish. For a price tag of $8 this is a letdown. 
2. Fishing minigames and music get repetitive after the first 2 hours
3. The aquarium is not graphically interesting with mostly dull tones and the background is an empty void
4. You only get 3 "rooms" to put a total of 9 fish tanks in, they're pretty small, and get crowded really quickly
5. The incremental aspect of this game is pretty boring and short-lived. 
6. The ascension aspect of this game is a huge letdown with only a few upgrades pertaining to actually "playing" over idling the game
7. Lack of creative freedom in the aquarium. Wouldn't really be an issue if it wasn't so dull. This is a core aspect of "cozy" games to me and where it really falls through in the genre. 
8. The skill tree is incredibly small and not mechanically interesting
</t>
        </is>
      </c>
      <c r="C3" t="inlineStr">
        <is>
          <t>Отрицательный</t>
        </is>
      </c>
      <c r="D3" t="inlineStr">
        <is>
          <t>english</t>
        </is>
      </c>
      <c r="E3" t="inlineStr">
        <is>
          <t>2026-07-19 05:33:10</t>
        </is>
      </c>
      <c r="F3" t="n">
        <v>30</v>
      </c>
      <c r="G3" t="n">
        <v>4</v>
      </c>
      <c r="H3" t="n">
        <v>0</v>
      </c>
      <c r="I3" t="n">
        <v>8</v>
      </c>
      <c r="J3" t="n">
        <v>8.800000000000001</v>
      </c>
    </row>
    <row r="4">
      <c r="A4">
        <f>HYPERLINK("https://steamcommunity.com/profiles/76561198413169889/recommended/4178020/#review_230888135", "76561198413169889")</f>
        <v/>
      </c>
      <c r="B4" t="inlineStr">
        <is>
          <t xml:space="preserve">REALLY short. For 8 dollars this has about as much content as a free mobile game. It was really fun, but in three hours, I ran out of game to play. There were synergies and more ways to make more money in game but with no more rewards or locations to fish, research to advance, or aquariums to build, there is no more reason to play. 
</t>
        </is>
      </c>
      <c r="C4" t="inlineStr">
        <is>
          <t>Отрицательный</t>
        </is>
      </c>
      <c r="D4" t="inlineStr">
        <is>
          <t>english</t>
        </is>
      </c>
      <c r="E4" t="inlineStr">
        <is>
          <t>2026-07-20 11:13:58</t>
        </is>
      </c>
      <c r="F4" t="n">
        <v>14</v>
      </c>
      <c r="G4" t="n">
        <v>0</v>
      </c>
      <c r="H4" t="n">
        <v>474</v>
      </c>
      <c r="I4" t="n">
        <v>2</v>
      </c>
      <c r="J4" t="n">
        <v>3.85</v>
      </c>
    </row>
    <row r="5">
      <c r="A5">
        <f>HYPERLINK("https://steamcommunity.com/profiles/76561198154427177/recommended/4178020/#review_230713158", "76561198154427177")</f>
        <v/>
      </c>
      <c r="B5" t="inlineStr">
        <is>
          <t>I will obliterate every customer in this aquarium to get a clear view of the puppy's tail wagging while I pat it's tiny head. I will pat its tiny, itty bitty, adorable face every time I see it running between people's legs. All shall despair (except the puppy). Ten out of ten.</t>
        </is>
      </c>
      <c r="C5" t="inlineStr">
        <is>
          <t>Положительный</t>
        </is>
      </c>
      <c r="D5" t="inlineStr">
        <is>
          <t>english</t>
        </is>
      </c>
      <c r="E5" t="inlineStr">
        <is>
          <t>2026-07-18 03:06:51</t>
        </is>
      </c>
      <c r="F5" t="n">
        <v>24</v>
      </c>
      <c r="G5" t="n">
        <v>6</v>
      </c>
      <c r="H5" t="n">
        <v>0</v>
      </c>
      <c r="I5" t="n">
        <v>3</v>
      </c>
      <c r="J5" t="n">
        <v>7.78</v>
      </c>
    </row>
    <row r="6">
      <c r="A6">
        <f>HYPERLINK("https://steamcommunity.com/profiles/76561198114174166/recommended/4178020/#review_230990392", "76561198114174166")</f>
        <v/>
      </c>
      <c r="B6" t="inlineStr">
        <is>
          <t>Ascension and research skill trees are too small, I was able to get all the good skills after my first ascension. Game feels unfinished with not a lot of things to do.</t>
        </is>
      </c>
      <c r="C6" t="inlineStr">
        <is>
          <t>Отрицательный</t>
        </is>
      </c>
      <c r="D6" t="inlineStr">
        <is>
          <t>english</t>
        </is>
      </c>
      <c r="E6" t="inlineStr">
        <is>
          <t>2026-07-21 21:52:05</t>
        </is>
      </c>
      <c r="F6" t="n">
        <v>9</v>
      </c>
      <c r="G6" t="n">
        <v>0</v>
      </c>
      <c r="H6" t="n">
        <v>17</v>
      </c>
      <c r="I6" t="n">
        <v>3</v>
      </c>
      <c r="J6" t="n">
        <v>8.73</v>
      </c>
    </row>
    <row r="7">
      <c r="A7">
        <f>HYPERLINK("https://steamcommunity.com/profiles/76561198300989225/recommended/4178020/#review_231163218", "76561198300989225")</f>
        <v/>
      </c>
      <c r="B7" t="inlineStr">
        <is>
          <t>Искренне не понимаю откуда столько восторженных отзывов, что игра аж с ОЧЕНЬ положительным рейтингом.
Я огромный фанат игр по рыбалке и если честно меня иногда выматывают перенасыщенные сюжетом и контентом рыбалки (типа Dave the diver), но здесь ни сюжета, ни контента, ни интереса - НИ ЧЕ ГО
Буквально даже нет степени качества рыбы, типа 1 звезды, 2 и 3 (к примеру). Да, есть редкость, но на твои способности ловли никак не влияет. 
К слову, ловля здесь максимально простая, вроде добавили несколько механик, но они супер скучные и надоедливые.
Если подумать игра проходится максимум часа за 2,5-3 и делать там больше нечего, просто отстроить океанариум и поймать все виды рыб. Ну и всё.. 
Ладно бы это было сделано интересно, но к сожалению ловить их тупо скучно, как я уже написала выше и никакого азарта что бы поймать легендарку (она тоже ловится довольно просто).
Пол игры на английском, ачивки лично у меня не работают, ну за 400р продавать вот ЭТО, обидно так как думала что будет во что залипнуть, но нет
0 рыбов из 10</t>
        </is>
      </c>
      <c r="C7" t="inlineStr">
        <is>
          <t>Отрицательный</t>
        </is>
      </c>
      <c r="D7" t="inlineStr">
        <is>
          <t>russian</t>
        </is>
      </c>
      <c r="E7" t="inlineStr">
        <is>
          <t>2026-07-24 05:42:31</t>
        </is>
      </c>
      <c r="F7" t="n">
        <v>3</v>
      </c>
      <c r="G7" t="n">
        <v>0</v>
      </c>
      <c r="H7" t="n">
        <v>104</v>
      </c>
      <c r="I7" t="n">
        <v>24</v>
      </c>
      <c r="J7" t="n">
        <v>0.77</v>
      </c>
    </row>
    <row r="8">
      <c r="A8">
        <f>HYPERLINK("https://steamcommunity.com/profiles/76561198378498132/recommended/4178020/#review_230886197", "76561198378498132")</f>
        <v/>
      </c>
      <c r="B8" t="inlineStr">
        <is>
          <t>本质挂机增量小游戏，鱼的种类太少还没有生态，更别说展馆设计和浴缸丰容了，不推荐。</t>
        </is>
      </c>
      <c r="C8" t="inlineStr">
        <is>
          <t>Отрицательный</t>
        </is>
      </c>
      <c r="D8" t="inlineStr">
        <is>
          <t>schinese</t>
        </is>
      </c>
      <c r="E8" t="inlineStr">
        <is>
          <t>2026-07-20 10:19:01</t>
        </is>
      </c>
      <c r="F8" t="n">
        <v>3</v>
      </c>
      <c r="G8" t="n">
        <v>0</v>
      </c>
      <c r="H8" t="n">
        <v>330</v>
      </c>
      <c r="I8" t="n">
        <v>28</v>
      </c>
      <c r="J8" t="n">
        <v>0.38</v>
      </c>
    </row>
    <row r="9">
      <c r="A9">
        <f>HYPERLINK("https://steamcommunity.com/profiles/76561198103816492/recommended/4178020/#review_231248838", "76561198103816492")</f>
        <v/>
      </c>
      <c r="B9" t="inlineStr">
        <is>
          <t>Lured In feels like a quarter of the game it should be.
Idle games play best on short play sessions and long-term goals. You work to maximize efficiency so that passive progression delivers the biggest rewards possible. A good entry in the genre offers a steady stream of incremental upgrades and unlocks, ensuring each day yields higher returns and keeps you coming back.
Lured In, on the other hand, doesn’t have much. There are few upgrades, few fish, few maps, and few rewards. The option to reset your run for a revenue boost and points toward special unlocks adds only a little. Yet despite these limitations, I still find it fairly decent.
The fishing relies on simple minigames. They’re engaging at first, but once the grind toward the final achievements sets in, they can feel like a tedious hindrance, and well worth turning off. I’d recommend keeping them on for the early stretch, though. They do add to the game. The ability to customize your character, shop, and tanks is a welcome touch that helps personalize the experience.
The worst I can say about the game is the roadblock that comes between runs when research points slow your progress. A cluster of important upgrades sits around the 1000-point mark, making each reset drag for a while. Aside from that, there’s not much to complain about.
This is neither a deep nor a complicated game by any stretch. It’s a simple pixel idle title (god, that's a tongue twister) about running a fish shop. It’ll keep you occupied, at the very least.</t>
        </is>
      </c>
      <c r="C9" t="inlineStr">
        <is>
          <t>Положительный</t>
        </is>
      </c>
      <c r="D9" t="inlineStr">
        <is>
          <t>english</t>
        </is>
      </c>
      <c r="E9" t="inlineStr">
        <is>
          <t>2026-07-25 07:58:25</t>
        </is>
      </c>
      <c r="F9" t="n">
        <v>2</v>
      </c>
      <c r="G9" t="n">
        <v>0</v>
      </c>
      <c r="H9" t="n">
        <v>0</v>
      </c>
      <c r="I9" t="n">
        <v>30</v>
      </c>
      <c r="J9" t="n">
        <v>8</v>
      </c>
    </row>
    <row r="10">
      <c r="A10">
        <f>HYPERLINK("https://steamcommunity.com/profiles/76561198011137073/recommended/4178020/#review_230945514", "76561198011137073")</f>
        <v/>
      </c>
      <c r="B10" t="inlineStr">
        <is>
          <t>It's a cool concept but there's just no content here. 
Is this a beta maybe? I am going to wait and see if more content is added in the future and maybe ill change review but right now its so empty.</t>
        </is>
      </c>
      <c r="C10" t="inlineStr">
        <is>
          <t>Отрицательный</t>
        </is>
      </c>
      <c r="D10" t="inlineStr">
        <is>
          <t>english</t>
        </is>
      </c>
      <c r="E10" t="inlineStr">
        <is>
          <t>2026-07-21 05:45:23</t>
        </is>
      </c>
      <c r="F10" t="n">
        <v>3</v>
      </c>
      <c r="G10" t="n">
        <v>0</v>
      </c>
      <c r="H10" t="n">
        <v>0</v>
      </c>
      <c r="I10" t="n">
        <v>8</v>
      </c>
      <c r="J10" t="n">
        <v>1.15</v>
      </c>
    </row>
    <row r="11">
      <c r="A11">
        <f>HYPERLINK("https://steamcommunity.com/profiles/76561198218934261/recommended/4178020/#review_230742164", "76561198218934261")</f>
        <v/>
      </c>
      <c r="B11" t="inlineStr">
        <is>
          <t>Awesome tycoon style incremental/idle game. Great pixel art, lots of cool locations to fish in. Lots of cool fish designs like a River Dolphin and Whale Shark. Great options to customise tanks with different backgrounds, sand/gravel and decorations. The fishing has several types of minigames to keep it varied, never gets frustrating. Options to toggle off timers, tutorials, tank cleaning etc which is sweet. Had a lot of fun with this game. Only wish there was more to unlock and expand the aquarium. 9/10</t>
        </is>
      </c>
      <c r="C11" t="inlineStr">
        <is>
          <t>Положительный</t>
        </is>
      </c>
      <c r="D11" t="inlineStr">
        <is>
          <t>english</t>
        </is>
      </c>
      <c r="E11" t="inlineStr">
        <is>
          <t>2026-07-18 13:40:00</t>
        </is>
      </c>
      <c r="F11" t="n">
        <v>2</v>
      </c>
      <c r="G11" t="n">
        <v>0</v>
      </c>
      <c r="H11" t="n">
        <v>0</v>
      </c>
      <c r="I11" t="n">
        <v>2</v>
      </c>
      <c r="J11" t="n">
        <v>27.02</v>
      </c>
    </row>
    <row r="12">
      <c r="A12">
        <f>HYPERLINK("https://steamcommunity.com/profiles/76561198090734441/recommended/4178020/#review_230808361", "76561198090734441")</f>
        <v/>
      </c>
      <c r="B12" t="inlineStr">
        <is>
          <t>For now.
Remind me on playing JustFishing. No more on steam. 
Have the same vibe but with extra thing.
Smooth game.
Idle and i can play other game while waiting for the income and so on for this game.
Fish pedia.
Many interesting upgrade,
I like the way of fishing. ( Mini game )
Developer like feedback and update frequently.
Money management.
Time management
Relaxing and calm game with simple music. Vibe.
This game is addicting!!!
Reminder : This is a game. A hobby. Gaming WISELY.
10/10
Thank you!</t>
        </is>
      </c>
      <c r="C12" t="inlineStr">
        <is>
          <t>Положительный</t>
        </is>
      </c>
      <c r="D12" t="inlineStr">
        <is>
          <t>english</t>
        </is>
      </c>
      <c r="E12" t="inlineStr">
        <is>
          <t>2026-07-19 09:23:50</t>
        </is>
      </c>
      <c r="F12" t="n">
        <v>2</v>
      </c>
      <c r="G12" t="n">
        <v>0</v>
      </c>
      <c r="H12" t="n">
        <v>619</v>
      </c>
      <c r="I12" t="n">
        <v>40</v>
      </c>
      <c r="J12" t="n">
        <v>88.8</v>
      </c>
    </row>
    <row r="13">
      <c r="A13">
        <f>HYPERLINK("https://steamcommunity.com/profiles/76561198141590466/recommended/4178020/#review_230822751", "76561198141590466")</f>
        <v/>
      </c>
      <c r="B13" t="inlineStr">
        <is>
          <t>가격대비 플탐이나 번역(자동번역수준), 컨텐츠 깊이는 얕아서 아쉬움
업뎃이 될지는 모르겠지만 된다면 훨씬 퀄 올라갈듯...
제가 오래켜놔서 그렇지 실제 플탐은 이것보단 많이 짧습니다.
낚시겜 좋아하고 가볍게 하실분들은 츄라이</t>
        </is>
      </c>
      <c r="C13" t="inlineStr">
        <is>
          <t>Положительный</t>
        </is>
      </c>
      <c r="D13" t="inlineStr">
        <is>
          <t>koreana</t>
        </is>
      </c>
      <c r="E13" t="inlineStr">
        <is>
          <t>2026-07-19 14:46:28</t>
        </is>
      </c>
      <c r="F13" t="n">
        <v>2</v>
      </c>
      <c r="G13" t="n">
        <v>0</v>
      </c>
      <c r="H13" t="n">
        <v>0</v>
      </c>
      <c r="I13" t="n">
        <v>69</v>
      </c>
      <c r="J13" t="n">
        <v>9.83</v>
      </c>
    </row>
    <row r="14">
      <c r="A14">
        <f>HYPERLINK("https://steamcommunity.com/profiles/76561198049892880/recommended/4178020/#review_231440085", "76561198049892880")</f>
        <v/>
      </c>
      <c r="B14" t="inlineStr">
        <is>
          <t>Its good but its actually crazy how short it is. Two ascensions and about 8 hours and I have done all there is to do.</t>
        </is>
      </c>
      <c r="C14" t="inlineStr">
        <is>
          <t>Отрицательный</t>
        </is>
      </c>
      <c r="D14" t="inlineStr">
        <is>
          <t>english</t>
        </is>
      </c>
      <c r="E14" t="inlineStr">
        <is>
          <t>2026-07-27 18:53:12</t>
        </is>
      </c>
      <c r="F14" t="n">
        <v>1</v>
      </c>
      <c r="G14" t="n">
        <v>0</v>
      </c>
      <c r="H14" t="n">
        <v>0</v>
      </c>
      <c r="I14" t="n">
        <v>76</v>
      </c>
      <c r="J14" t="n">
        <v>6.83</v>
      </c>
    </row>
    <row r="15">
      <c r="A15">
        <f>HYPERLINK("https://steamcommunity.com/profiles/76561198041804016/recommended/4178020/#review_231227051", "76561198041804016")</f>
        <v/>
      </c>
      <c r="B15" t="inlineStr">
        <is>
          <t>Lured In was a really fun and surprisingly polished little fishing/idle game. The different fishing minigames kept things fresh, and I loved that some of them are fun nods to games like Webfishing and Stardew Valley while others felt completely unique. Filling out the aquariums and finding good fish synergies ended up being my favorite part.
The ascension system felt a little unnecessary since I had unlocked most of the interesting upgrades after my first one, and some of the aquarium UI could be a bit clunky. There was originally an achievement to earn $1 trillion that felt way grindier than the rest of the game, but the developer ended up removing it after feedback, which I really appreciated. It's always nice to see a developer prioritize keeping the game fun over padding out playtime. Overall I had a blast getting 100%, and I'd definitely recommend it if you're looking for a cozy incremental game.</t>
        </is>
      </c>
      <c r="C15" t="inlineStr">
        <is>
          <t>Положительный</t>
        </is>
      </c>
      <c r="D15" t="inlineStr">
        <is>
          <t>english</t>
        </is>
      </c>
      <c r="E15" t="inlineStr">
        <is>
          <t>2026-07-25 01:08:15</t>
        </is>
      </c>
      <c r="F15" t="n">
        <v>1</v>
      </c>
      <c r="G15" t="n">
        <v>0</v>
      </c>
      <c r="H15" t="n">
        <v>1569</v>
      </c>
      <c r="I15" t="n">
        <v>59</v>
      </c>
      <c r="J15" t="n">
        <v>22.6</v>
      </c>
    </row>
    <row r="16">
      <c r="A16">
        <f>HYPERLINK("https://steamcommunity.com/profiles/76561199073479269/recommended/4178020/#review_231060172", "76561199073479269")</f>
        <v/>
      </c>
      <c r="B16" t="inlineStr">
        <is>
          <t>Beautiful game with great potential,  but it NEEDS content and progression upgrades.
The main game is chill and fun,  but the grind to get those big achievements is painful and just boring, plus I personally would really love to spend some more time playing around with the shop.
Also, I've got a question for the cook, that for some reason asks if i got any axolotls for him to buy 🤨</t>
        </is>
      </c>
      <c r="C16" t="inlineStr">
        <is>
          <t>Положительный</t>
        </is>
      </c>
      <c r="D16" t="inlineStr">
        <is>
          <t>ukrainian</t>
        </is>
      </c>
      <c r="E16" t="inlineStr">
        <is>
          <t>2026-07-22 21:31:50</t>
        </is>
      </c>
      <c r="F16" t="n">
        <v>1</v>
      </c>
      <c r="G16" t="n">
        <v>0</v>
      </c>
      <c r="H16" t="n">
        <v>0</v>
      </c>
      <c r="I16" t="n">
        <v>5</v>
      </c>
      <c r="J16" t="n">
        <v>58.4</v>
      </c>
    </row>
    <row r="17">
      <c r="A17">
        <f>HYPERLINK("https://steamcommunity.com/profiles/76561198077297773/recommended/4178020/#review_231013040", "76561198077297773")</f>
        <v/>
      </c>
      <c r="B17" t="inlineStr">
        <is>
          <t>Fun little game with a lot going for it. If you love fishing, mini-games, running a shop, investing in technologies, youll love this. A very chill game and at the right price.</t>
        </is>
      </c>
      <c r="C17" t="inlineStr">
        <is>
          <t>Положительный</t>
        </is>
      </c>
      <c r="D17" t="inlineStr">
        <is>
          <t>english</t>
        </is>
      </c>
      <c r="E17" t="inlineStr">
        <is>
          <t>2026-07-22 04:11:50</t>
        </is>
      </c>
      <c r="F17" t="n">
        <v>1</v>
      </c>
      <c r="G17" t="n">
        <v>0</v>
      </c>
      <c r="H17" t="n">
        <v>0</v>
      </c>
      <c r="I17" t="n">
        <v>66</v>
      </c>
      <c r="J17" t="n">
        <v>1.6</v>
      </c>
    </row>
    <row r="18">
      <c r="A18">
        <f>HYPERLINK("https://steamcommunity.com/profiles/76561198105053567/recommended/4178020/#review_230947056", "76561198105053567")</f>
        <v/>
      </c>
      <c r="B18" t="inlineStr">
        <is>
          <t>It's fun, but I wish there was more of an end game or something. After just a few hours of play I feel like I've hit the end of content.</t>
        </is>
      </c>
      <c r="C18" t="inlineStr">
        <is>
          <t>Положительный</t>
        </is>
      </c>
      <c r="D18" t="inlineStr">
        <is>
          <t>english</t>
        </is>
      </c>
      <c r="E18" t="inlineStr">
        <is>
          <t>2026-07-21 06:20:28</t>
        </is>
      </c>
      <c r="F18" t="n">
        <v>1</v>
      </c>
      <c r="G18" t="n">
        <v>0</v>
      </c>
      <c r="H18" t="n">
        <v>0</v>
      </c>
      <c r="I18" t="n">
        <v>67</v>
      </c>
      <c r="J18" t="n">
        <v>3.82</v>
      </c>
    </row>
    <row r="19">
      <c r="A19">
        <f>HYPERLINK("https://steamcommunity.com/profiles/76561199085773130/recommended/4178020/#review_230852052", "76561199085773130")</f>
        <v/>
      </c>
      <c r="B19" t="inlineStr">
        <is>
          <t>The concept and scalability of the game is really simple. Great to pick up for a couple of hours and I hope there are future updates with more varieties of fish, shop decor/design options, and automation (tank cleaning, feeding, donation collecting, etc). Overall I think this game has a good base to expand and add on. With about 6 hours in I've been able to complete most of the game and hope more content is added in later.</t>
        </is>
      </c>
      <c r="C19" t="inlineStr">
        <is>
          <t>Положительный</t>
        </is>
      </c>
      <c r="D19" t="inlineStr">
        <is>
          <t>english</t>
        </is>
      </c>
      <c r="E19" t="inlineStr">
        <is>
          <t>2026-07-19 22:37:08</t>
        </is>
      </c>
      <c r="F19" t="n">
        <v>1</v>
      </c>
      <c r="G19" t="n">
        <v>0</v>
      </c>
      <c r="H19" t="n">
        <v>0</v>
      </c>
      <c r="I19" t="n">
        <v>4</v>
      </c>
      <c r="J19" t="n">
        <v>5.85</v>
      </c>
    </row>
    <row r="20">
      <c r="A20">
        <f>HYPERLINK("https://steamcommunity.com/profiles/76561199173897535/recommended/4178020/#review_230781677", "76561199173897535")</f>
        <v/>
      </c>
      <c r="B20" t="inlineStr">
        <is>
          <t>It's a really cozy fishing and aquarium incremental game. Although I do recommend and love it, my overall opinion is a bit more mixed.
[h3]The Pros: [/h3] [list]
[*] [b] I really appreciate how customizable settings for the fishing minigames. [/b]
For example, you can remove the time limit so you don't have to stress about it or just remove minigames complately if all u want to do is focus entirely on being idle.
[*] [b] The aquarium and shop are what really sold me on the game. [/b]. 
Being able to choose exactly which fish are displayed and how many of each has been something I've wanted in a game for a really long time, and it's implemented really well here. I also very much enjoy decorating, feeding the fish, and cleaning the tanks.
[*] [b] Misc [/b]
The pixel art and music are pretty nice. There's also some fun and silly stuff in the game like being able to pet the pupper or the acheivements with grandpa.[/list]
[h3] The Cons: [/h3] [list]
[*] [b] The incremental gameplay is pretty standard. [/b]
Nothing really special, and there's not much upgrades. 
[*] [b] My main gripe is the Ascension mechanic. [/b] 
I do want to mention that I'm someone who really enjoys collecting, so having to wipe everything for more buffs is just isn't for me. 
But I really feel like this mechanic takes away from the coziness and collecting appeal. Instead of getting attached to the shop and the tanks, I have to play the game like it's just something I have to get through until I unlock all the ascension upgrades. Like wow I got this legendary fish. It won't really matter because it's going to be gone after ascension (except from the fishpedia). If you spent a lot of time decorating early on before you even do your first ascension, well now it's just a waste. You could get the upgrades that passes on decorations, but you still have to ascend your shop at least once. I guess you can just ignore the Ascension, but then you're locked out of two achievements and some really good buffs. [/list]
If the dev plans to add more I really hope I don't have to nuke my shop again.</t>
        </is>
      </c>
      <c r="C20" t="inlineStr">
        <is>
          <t>Положительный</t>
        </is>
      </c>
      <c r="D20" t="inlineStr">
        <is>
          <t>english</t>
        </is>
      </c>
      <c r="E20" t="inlineStr">
        <is>
          <t>2026-07-19 00:41:37</t>
        </is>
      </c>
      <c r="F20" t="n">
        <v>1</v>
      </c>
      <c r="G20" t="n">
        <v>0</v>
      </c>
      <c r="H20" t="n">
        <v>0</v>
      </c>
      <c r="I20" t="n">
        <v>43</v>
      </c>
      <c r="J20" t="n">
        <v>47.6</v>
      </c>
    </row>
    <row r="21">
      <c r="A21">
        <f>HYPERLINK("https://steamcommunity.com/profiles/76561198071986224/recommended/4178020/#review_230736190", "76561198071986224")</f>
        <v/>
      </c>
      <c r="B21" t="inlineStr">
        <is>
          <t>Lured In is an ironic name for this game because it's a rare incremental game that doesn't use predatory pricing.  The atmosphere is very chill and it has a quick learning curve.  The music is genuinely pleasant and it's fun to hunt down rare fish in each habitat.  I recommend checking it out for a casual play.</t>
        </is>
      </c>
      <c r="C21" t="inlineStr">
        <is>
          <t>Положительный</t>
        </is>
      </c>
      <c r="D21" t="inlineStr">
        <is>
          <t>english</t>
        </is>
      </c>
      <c r="E21" t="inlineStr">
        <is>
          <t>2026-07-18 11:19:47</t>
        </is>
      </c>
      <c r="F21" t="n">
        <v>1</v>
      </c>
      <c r="G21" t="n">
        <v>0</v>
      </c>
      <c r="H21" t="n">
        <v>0</v>
      </c>
      <c r="I21" t="n">
        <v>10</v>
      </c>
      <c r="J21" t="n">
        <v>8.93</v>
      </c>
    </row>
    <row r="22">
      <c r="A22">
        <f>HYPERLINK("https://steamcommunity.com/profiles/76561199754672463/recommended/4178020/#review_230723087", "76561199754672463")</f>
        <v/>
      </c>
      <c r="B22" t="inlineStr">
        <is>
          <t>Просто чудесная игра! Продавалась в наборе вместе с fishers fishing journey - тоже одна из моих любимых игр про рыбалку. В этой игре ты не скучаешь, постоянно чем-то занят, она просто не дает скучать. Так же прогресс тут не такой долгий, валюта ощутимо прибавляется при любом улучшении (которое связано с валютой). Пожалуйста, не бросайте игру, развивайте и добавляйте побольше обновлений! В любом случае я ваша большая фанатка! Всем рекомендую к скачиванию и покупке!</t>
        </is>
      </c>
      <c r="C22" t="inlineStr">
        <is>
          <t>Положительный</t>
        </is>
      </c>
      <c r="D22" t="inlineStr">
        <is>
          <t>russian</t>
        </is>
      </c>
      <c r="E22" t="inlineStr">
        <is>
          <t>2026-07-18 06:26:07</t>
        </is>
      </c>
      <c r="F22" t="n">
        <v>1</v>
      </c>
      <c r="G22" t="n">
        <v>0</v>
      </c>
      <c r="H22" t="n">
        <v>0</v>
      </c>
      <c r="I22" t="n">
        <v>3</v>
      </c>
      <c r="J22" t="n">
        <v>18.77</v>
      </c>
    </row>
    <row r="23">
      <c r="A23">
        <f>HYPERLINK("https://steamcommunity.com/profiles/76561197960490503/recommended/4178020/#review_230997740", "76561197960490503")</f>
        <v/>
      </c>
      <c r="B23" t="inlineStr">
        <is>
          <t>I really like it. Its cozy and has a nice progression. The prestige could be a bit more fun without the "passive" stuff for offline progression because you unlock everyhting needed in 1 or 2 hours.</t>
        </is>
      </c>
      <c r="C23" t="inlineStr">
        <is>
          <t>Положительный</t>
        </is>
      </c>
      <c r="D23" t="inlineStr">
        <is>
          <t>english</t>
        </is>
      </c>
      <c r="E23" t="inlineStr">
        <is>
          <t>2026-07-21 23:49:36</t>
        </is>
      </c>
      <c r="F23" t="n">
        <v>1</v>
      </c>
      <c r="G23" t="n">
        <v>0</v>
      </c>
      <c r="H23" t="n">
        <v>0</v>
      </c>
      <c r="I23" t="n">
        <v>238</v>
      </c>
      <c r="J23" t="n">
        <v>3.68</v>
      </c>
    </row>
    <row r="24">
      <c r="A24">
        <f>HYPERLINK("https://steamcommunity.com/profiles/76561199580255005/recommended/4178020/#review_230802370", "76561199580255005")</f>
        <v/>
      </c>
      <c r="B24" t="inlineStr">
        <is>
          <t>这款游戏的画风吸引了我，是典型的养成类游戏。画风和音乐真的很好，是一款宝藏游戏。游戏缺点也有很多，鱼类太少， 游戏玩法有点无聊，鱼的游姿太诡异了。游戏那个翻新玩法，翻新房子会重置进度，这个玩法并不好，我劝开发者先自己玩玩游戏，但是不得不说游戏的美术太优秀了。这游戏不推荐，我不可能昧着良心说假话</t>
        </is>
      </c>
      <c r="C24" t="inlineStr">
        <is>
          <t>Отрицательный</t>
        </is>
      </c>
      <c r="D24" t="inlineStr">
        <is>
          <t>schinese</t>
        </is>
      </c>
      <c r="E24" t="inlineStr">
        <is>
          <t>2026-07-19 07:12:01</t>
        </is>
      </c>
      <c r="F24" t="n">
        <v>1</v>
      </c>
      <c r="G24" t="n">
        <v>0</v>
      </c>
      <c r="H24" t="n">
        <v>303</v>
      </c>
      <c r="I24" t="n">
        <v>20</v>
      </c>
      <c r="J24" t="n">
        <v>3.28</v>
      </c>
    </row>
    <row r="25">
      <c r="A25">
        <f>HYPERLINK("https://steamcommunity.com/profiles/76561198189248315/recommended/4178020/#review_230753598", "76561198189248315")</f>
        <v/>
      </c>
      <c r="B25" t="inlineStr">
        <is>
          <t>Wow this game is all I ever wanted. 
A cozy fishing game with aquariums to keep your caugth fish.
I can't wait for more content of this game!
Maybe there should be more options to decorate or change the apperance of your shop and aquariums. So you can create your unique shop.</t>
        </is>
      </c>
      <c r="C25" t="inlineStr">
        <is>
          <t>Положительный</t>
        </is>
      </c>
      <c r="D25" t="inlineStr">
        <is>
          <t>english</t>
        </is>
      </c>
      <c r="E25" t="inlineStr">
        <is>
          <t>2026-07-18 17:35:29</t>
        </is>
      </c>
      <c r="F25" t="n">
        <v>1</v>
      </c>
      <c r="G25" t="n">
        <v>0</v>
      </c>
      <c r="H25" t="n">
        <v>180</v>
      </c>
      <c r="I25" t="n">
        <v>9</v>
      </c>
      <c r="J25" t="n">
        <v>8.82</v>
      </c>
    </row>
    <row r="26">
      <c r="A26">
        <f>HYPERLINK("https://steamcommunity.com/profiles/76561198045915606/recommended/4178020/#review_230711746", "76561198045915606")</f>
        <v/>
      </c>
      <c r="B26" t="inlineStr">
        <is>
          <t>This game definitely has potential to be a good time-waster. It's an idle game, but definitely keeps you busy on the side, so you're not JUST watching the numbers go up, the fishing matters towards helping with that!
This has legs, or fins.</t>
        </is>
      </c>
      <c r="C26" t="inlineStr">
        <is>
          <t>Положительный</t>
        </is>
      </c>
      <c r="D26" t="inlineStr">
        <is>
          <t>english</t>
        </is>
      </c>
      <c r="E26" t="inlineStr">
        <is>
          <t>2026-07-18 02:43:10</t>
        </is>
      </c>
      <c r="F26" t="n">
        <v>3</v>
      </c>
      <c r="G26" t="n">
        <v>0</v>
      </c>
      <c r="H26" t="n">
        <v>468</v>
      </c>
      <c r="I26" t="n">
        <v>39</v>
      </c>
      <c r="J26" t="n">
        <v>3.47</v>
      </c>
    </row>
    <row r="27">
      <c r="A27">
        <f>HYPERLINK("https://steamcommunity.com/profiles/76561197998482590/recommended/4178020/#review_230949473", "76561197998482590")</f>
        <v/>
      </c>
      <c r="B27" t="inlineStr">
        <is>
          <t>Simple, Enjoyable, and as hands on or off as you like.  Nothing fancy, just a fun game =)</t>
        </is>
      </c>
      <c r="C27" t="inlineStr">
        <is>
          <t>Положительный</t>
        </is>
      </c>
      <c r="D27" t="inlineStr">
        <is>
          <t>english</t>
        </is>
      </c>
      <c r="E27" t="inlineStr">
        <is>
          <t>2026-07-21 07:14:39</t>
        </is>
      </c>
      <c r="F27" t="n">
        <v>1</v>
      </c>
      <c r="G27" t="n">
        <v>0</v>
      </c>
      <c r="H27" t="n">
        <v>278</v>
      </c>
      <c r="I27" t="n">
        <v>14</v>
      </c>
      <c r="J27" t="n">
        <v>68.17</v>
      </c>
    </row>
    <row r="28">
      <c r="A28">
        <f>HYPERLINK("https://steamcommunity.com/profiles/76561198092743339/recommended/4178020/#review_230934519", "76561198092743339")</f>
        <v/>
      </c>
      <c r="B28" t="inlineStr">
        <is>
          <t>한패 곳곳에 안되있는곳이 조금 있지만 플레이하는데 불편한건 없음</t>
        </is>
      </c>
      <c r="C28" t="inlineStr">
        <is>
          <t>Положительный</t>
        </is>
      </c>
      <c r="D28" t="inlineStr">
        <is>
          <t>koreana</t>
        </is>
      </c>
      <c r="E28" t="inlineStr">
        <is>
          <t>2026-07-21 02:08:07</t>
        </is>
      </c>
      <c r="F28" t="n">
        <v>1</v>
      </c>
      <c r="G28" t="n">
        <v>0</v>
      </c>
      <c r="H28" t="n">
        <v>192</v>
      </c>
      <c r="I28" t="n">
        <v>11</v>
      </c>
      <c r="J28" t="n">
        <v>2.47</v>
      </c>
    </row>
    <row r="29">
      <c r="A29">
        <f>HYPERLINK("https://steamcommunity.com/profiles/76561198329743589/recommended/4178020/#review_231388781", "76561198329743589")</f>
        <v/>
      </c>
      <c r="B29" t="inlineStr">
        <is>
          <t>I'm a sucker for fishing and idle games, and while the art is cute and the mini games were entertaining (for about an hour) it was a REALLY short game. 90% of my time playing was trying to get that trillionaire achievement and then it was removed. I only ascended once since it had such a small skill tree, so I was a little disappointed in that. I wish you could see how much each individual tank was generating in terms of income.
I wouldn't get it at full price at the moment with how short it is. Can be completed in sub 3 hours.</t>
        </is>
      </c>
      <c r="C29" t="inlineStr">
        <is>
          <t>Отрицательный</t>
        </is>
      </c>
      <c r="D29" t="inlineStr">
        <is>
          <t>english</t>
        </is>
      </c>
      <c r="E29" t="inlineStr">
        <is>
          <t>2026-07-27 01:16:40</t>
        </is>
      </c>
      <c r="F29" t="n">
        <v>1</v>
      </c>
      <c r="G29" t="n">
        <v>0</v>
      </c>
      <c r="H29" t="n">
        <v>0</v>
      </c>
      <c r="I29" t="n">
        <v>7</v>
      </c>
      <c r="J29" t="n">
        <v>7.45</v>
      </c>
    </row>
    <row r="30">
      <c r="A30">
        <f>HYPERLINK("https://steamcommunity.com/profiles/76561198138863093/recommended/4178020/#review_231387918", "76561198138863093")</f>
        <v/>
      </c>
      <c r="B30" t="inlineStr">
        <is>
          <t>Nice small game. Wish this game was a bit larger and had some more features and fish to get, but it's a good start with great pixel are and good fishing minigame mechanics. Main thing I wish it had more of was tank space and fish. There are a lot of cool fish that aren't a part of the game that I wish it had and it would be nice to be able to have a lot more option for coral reefs in the tanks as the saltwater selection is a bit lacking. Hopeful that future content updates for this game will provide more fish per region and other mechanics! 
Rating: 7/10</t>
        </is>
      </c>
      <c r="C30" t="inlineStr">
        <is>
          <t>Положительный</t>
        </is>
      </c>
      <c r="D30" t="inlineStr">
        <is>
          <t>english</t>
        </is>
      </c>
      <c r="E30" t="inlineStr">
        <is>
          <t>2026-07-27 01:04:57</t>
        </is>
      </c>
      <c r="F30" t="n">
        <v>0</v>
      </c>
      <c r="G30" t="n">
        <v>0</v>
      </c>
      <c r="H30" t="n">
        <v>151</v>
      </c>
      <c r="I30" t="n">
        <v>17</v>
      </c>
      <c r="J30" t="n">
        <v>6.58</v>
      </c>
    </row>
    <row r="31">
      <c r="A31">
        <f>HYPERLINK("https://steamcommunity.com/profiles/76561198003842202/recommended/4178020/#review_231381936", "76561198003842202")</f>
        <v/>
      </c>
      <c r="B31" t="inlineStr">
        <is>
          <t>they removed the trillonaire achievment a couple days before i got it.
I hate them, but it's still a good game.</t>
        </is>
      </c>
      <c r="C31" t="inlineStr">
        <is>
          <t>Положительный</t>
        </is>
      </c>
      <c r="D31" t="inlineStr">
        <is>
          <t>english</t>
        </is>
      </c>
      <c r="E31" t="inlineStr">
        <is>
          <t>2026-07-26 23:39:15</t>
        </is>
      </c>
      <c r="F31" t="n">
        <v>0</v>
      </c>
      <c r="G31" t="n">
        <v>0</v>
      </c>
      <c r="H31" t="n">
        <v>0</v>
      </c>
      <c r="I31" t="n">
        <v>6</v>
      </c>
      <c r="J31" t="n">
        <v>20.3</v>
      </c>
    </row>
    <row r="32">
      <c r="A32">
        <f>HYPERLINK("https://steamcommunity.com/profiles/76561198284557674/recommended/4178020/#review_231318863", "76561198284557674")</f>
        <v/>
      </c>
      <c r="B32" t="inlineStr">
        <is>
          <t>I really enjoyed this game! It is a very relaxing experience where you can turn your brain off while you level up your gear and aquarium. I think that this game has a very nice art style and I appreciated the some of the jokes for the fish descriptions in the fishpedia!
I agree with some of the other reviews that the game feels a bit underdeveloped at its current point as you can progress pretty quickly, but when looking at the scale of the development and its price, I would say that it is 100% worth it to play and relax. It kind of reminds me of when I would play Fish Tycoon from WildTangent games, but with the extra element of catching your own fish instead of breeding them.
Overall a great experience and I hope the game gets expanded on!</t>
        </is>
      </c>
      <c r="C32" t="inlineStr">
        <is>
          <t>Положительный</t>
        </is>
      </c>
      <c r="D32" t="inlineStr">
        <is>
          <t>english</t>
        </is>
      </c>
      <c r="E32" t="inlineStr">
        <is>
          <t>2026-07-26 04:53:17</t>
        </is>
      </c>
      <c r="F32" t="n">
        <v>0</v>
      </c>
      <c r="G32" t="n">
        <v>0</v>
      </c>
      <c r="H32" t="n">
        <v>0</v>
      </c>
      <c r="I32" t="n">
        <v>3</v>
      </c>
      <c r="J32" t="n">
        <v>6.75</v>
      </c>
    </row>
    <row r="33">
      <c r="A33">
        <f>HYPERLINK("https://steamcommunity.com/profiles/76561198124236113/recommended/4178020/#review_231316085", "76561198124236113")</f>
        <v/>
      </c>
      <c r="B33" t="inlineStr">
        <is>
          <t>問題点やわかりにくい点が、所々ある。
・windowsスマートアプリコントロールの設定をオフにしないと起動しなかった
・日本語対応だけど、英語の文章も出てきて完全ではない
・ウキのミニゲームが超絶わかりにくい（２秒押して離す。１秒押して離すみたいな感じ）
・お金の稼ぎ方は、釣りや水槽よりショップのマーケタブの項目から稼げるようになる
何も知らずにやると、上記の所で困るけど慣れればなんとかなる？</t>
        </is>
      </c>
      <c r="C33" t="inlineStr">
        <is>
          <t>Положительный</t>
        </is>
      </c>
      <c r="D33" t="inlineStr">
        <is>
          <t>japanese</t>
        </is>
      </c>
      <c r="E33" t="inlineStr">
        <is>
          <t>2026-07-26 03:58:33</t>
        </is>
      </c>
      <c r="F33" t="n">
        <v>0</v>
      </c>
      <c r="G33" t="n">
        <v>0</v>
      </c>
      <c r="H33" t="n">
        <v>120</v>
      </c>
      <c r="I33" t="n">
        <v>17</v>
      </c>
      <c r="J33" t="n">
        <v>2.85</v>
      </c>
    </row>
    <row r="34">
      <c r="A34">
        <f>HYPERLINK("https://steamcommunity.com/profiles/76561198126858228/recommended/4178020/#review_231304441", "76561198126858228")</f>
        <v/>
      </c>
      <c r="B34" t="inlineStr">
        <is>
          <t>For the price it is a great game.  But it is very fast to get through for an idle game. I think they could triple the content to make it feel fully complete</t>
        </is>
      </c>
      <c r="C34" t="inlineStr">
        <is>
          <t>Положительный</t>
        </is>
      </c>
      <c r="D34" t="inlineStr">
        <is>
          <t>english</t>
        </is>
      </c>
      <c r="E34" t="inlineStr">
        <is>
          <t>2026-07-26 00:41:23</t>
        </is>
      </c>
      <c r="F34" t="n">
        <v>0</v>
      </c>
      <c r="G34" t="n">
        <v>0</v>
      </c>
      <c r="H34" t="n">
        <v>0</v>
      </c>
      <c r="I34" t="n">
        <v>23</v>
      </c>
      <c r="J34" t="n">
        <v>13.38</v>
      </c>
    </row>
    <row r="35">
      <c r="A35">
        <f>HYPERLINK("https://steamcommunity.com/profiles/76561198995647712/recommended/4178020/#review_231300305", "76561198995647712")</f>
        <v/>
      </c>
      <c r="B35" t="inlineStr">
        <is>
          <t>I personally think this game is worth every penny, can it be deeper... sure but i think its perfect as is thank you mr game dev I enjoyed it :D</t>
        </is>
      </c>
      <c r="C35" t="inlineStr">
        <is>
          <t>Положительный</t>
        </is>
      </c>
      <c r="D35" t="inlineStr">
        <is>
          <t>english</t>
        </is>
      </c>
      <c r="E35" t="inlineStr">
        <is>
          <t>2026-07-25 23:38:13</t>
        </is>
      </c>
      <c r="F35" t="n">
        <v>0</v>
      </c>
      <c r="G35" t="n">
        <v>0</v>
      </c>
      <c r="H35" t="n">
        <v>136</v>
      </c>
      <c r="I35" t="n">
        <v>15</v>
      </c>
      <c r="J35" t="n">
        <v>17.33</v>
      </c>
    </row>
    <row r="36">
      <c r="A36">
        <f>HYPERLINK("https://steamcommunity.com/profiles/76561198245578944/recommended/4178020/#review_231296471", "76561198245578944")</f>
        <v/>
      </c>
      <c r="B36" t="inlineStr">
        <is>
          <t>Solid game with good art, but quite shallow. The mechanics are simple compared to most tycoon / incrementals I’ve played, and unlike other fishing games the minigames do not get any harder and there are no upgrades focusing on minigame difficulty. I personally enjoy achievement hunting in games like this, and if you do too it’s definitely worth the money, but if you’re not a completionist expect 2-3 hours of  content at most. Still, very well made and was an enjoyable time, so I would recommend it to my fellow fishing game enthusiasts.</t>
        </is>
      </c>
      <c r="C36" t="inlineStr">
        <is>
          <t>Положительный</t>
        </is>
      </c>
      <c r="D36" t="inlineStr">
        <is>
          <t>english</t>
        </is>
      </c>
      <c r="E36" t="inlineStr">
        <is>
          <t>2026-07-25 22:39:37</t>
        </is>
      </c>
      <c r="F36" t="n">
        <v>0</v>
      </c>
      <c r="G36" t="n">
        <v>0</v>
      </c>
      <c r="H36" t="n">
        <v>189</v>
      </c>
      <c r="I36" t="n">
        <v>10</v>
      </c>
      <c r="J36" t="n">
        <v>12.25</v>
      </c>
    </row>
    <row r="37">
      <c r="A37">
        <f>HYPERLINK("https://steamcommunity.com/profiles/76561198295366351/recommended/4178020/#review_231283030", "76561198295366351")</f>
        <v/>
      </c>
      <c r="B37" t="inlineStr">
        <is>
          <t>Mit idlen in 11 Stunden auf 100% gespielt. Es geht bestimmt auch schneller, aber ich war teilweise nicht am PC.
Man baut den Laden seines Opas wieder auf. Man muss Fische fangen, diese kann man mit oder ohne Mini-Spiel fangen, stellt diese in Aquarien aus und hat so passive Einnahmen. Diese gibt man für Upgrades aus. Man hat einen Forschungstalentbaum und einen Reset-Talentbaum. Beide aber relativ klein. 
Kurzes Spiel, hat aber Spaß gemacht. Der letzte Erfolg war etwas langatmig, aber durch das idlen gut machbar. Alle Erfolge sind gut zu erreichen.</t>
        </is>
      </c>
      <c r="C37" t="inlineStr">
        <is>
          <t>Положительный</t>
        </is>
      </c>
      <c r="D37" t="inlineStr">
        <is>
          <t>german</t>
        </is>
      </c>
      <c r="E37" t="inlineStr">
        <is>
          <t>2026-07-25 19:22:28</t>
        </is>
      </c>
      <c r="F37" t="n">
        <v>0</v>
      </c>
      <c r="G37" t="n">
        <v>0</v>
      </c>
      <c r="H37" t="n">
        <v>501</v>
      </c>
      <c r="I37" t="n">
        <v>41</v>
      </c>
      <c r="J37" t="n">
        <v>11.28</v>
      </c>
    </row>
    <row r="38">
      <c r="A38">
        <f>HYPERLINK("https://steamcommunity.com/profiles/76561198006888523/recommended/4178020/#review_231277119", "76561198006888523")</f>
        <v/>
      </c>
      <c r="B38" t="inlineStr">
        <is>
          <t>[h1]Crack cocaine for people that make spreadsheets just to optimize and maximize lines going up.[/h1]
Surprisingly addictive tycoon like with idle and mini-game elements. A completionist will spend several hours to unlock and maximize everything. Someone that loves decorating your space will also enjoy this game but the amount of content and limited customability will not keep them for a significant amount of time.
[h3]There are a couple of additions that would increase the game's longevity exponentially.[/h3]
• More official content in general is always welcome. The price is already good for what you get so you can't really demand it from the dev.
• Better placeability and customability. Things like being able to name your aquariums would be welcome. A more involved placement system like being able to place a lamp on top of a table or coral on rocks. Increasing the placement area and moveable aquariums would also be positive.
• User created content and mods. Depending on the code it would be fairly easy to add stuff like fishes, locations and decoration. additional upgrades, modifiers and additional rooms would also be a realistic improvement.
For those who enjoy these kind of games will find a lot of value for the money and I hope Lured In and the devs succeed.</t>
        </is>
      </c>
      <c r="C38" t="inlineStr">
        <is>
          <t>Положительный</t>
        </is>
      </c>
      <c r="D38" t="inlineStr">
        <is>
          <t>english</t>
        </is>
      </c>
      <c r="E38" t="inlineStr">
        <is>
          <t>2026-07-25 17:48:29</t>
        </is>
      </c>
      <c r="F38" t="n">
        <v>0</v>
      </c>
      <c r="G38" t="n">
        <v>0</v>
      </c>
      <c r="H38" t="n">
        <v>0</v>
      </c>
      <c r="I38" t="n">
        <v>1</v>
      </c>
      <c r="J38" t="n">
        <v>12.72</v>
      </c>
    </row>
    <row r="39">
      <c r="A39">
        <f>HYPERLINK("https://steamcommunity.com/profiles/76561198415017076/recommended/4178020/#review_231275620", "76561198415017076")</f>
        <v/>
      </c>
      <c r="B39" t="inlineStr">
        <is>
          <t>Its a cute game, the music is nice and the main idea is cool.
The Game dev removed the achievement Trillionair (poggers)</t>
        </is>
      </c>
      <c r="C39" t="inlineStr">
        <is>
          <t>Положительный</t>
        </is>
      </c>
      <c r="D39" t="inlineStr">
        <is>
          <t>english</t>
        </is>
      </c>
      <c r="E39" t="inlineStr">
        <is>
          <t>2026-07-25 17:21:57</t>
        </is>
      </c>
      <c r="F39" t="n">
        <v>0</v>
      </c>
      <c r="G39" t="n">
        <v>0</v>
      </c>
      <c r="H39" t="n">
        <v>92</v>
      </c>
      <c r="I39" t="n">
        <v>6</v>
      </c>
      <c r="J39" t="n">
        <v>15.82</v>
      </c>
    </row>
    <row r="40">
      <c r="A40">
        <f>HYPERLINK("https://steamcommunity.com/profiles/76561198367471798/recommended/4178020/#review_231263862", "76561198367471798")</f>
        <v/>
      </c>
      <c r="B40" t="inlineStr">
        <is>
          <t>Lured In takes a familiar idle-game formula and gives it a refreshing identity through its combination of fishing, aquarium management, and incremental progression. Developed by Big Boy Games and published by 2 Left Thumbs, the game invites players to step into the role of a new aquarium owner after inheriting the family business from a retiring grandfather. From the moment the first fishing rod is cast, it becomes clear that the title is designed to provide a comfortable and rewarding gameplay experience built around steady progress rather than intense challenges.
The heart of the game lies in its satisfying gameplay loop. Players travel to various fishing spots, discover dozens of aquatic species, and decide how best to use their catches. Some fish can be sold immediately for a quick influx of cash, while others can be displayed in tanks to generate passive income over time. This creates an enjoyable balance between short-term profits and long-term investment. As the aquarium expands, players gain access to larger tanks, improved equipment, and additional upgrades that encourage experimentation and optimization. The inclusion of fish synergies and ascension mechanics ensures that progression remains engaging well beyond the opening hours.
One of the game's biggest strengths is how naturally it layers its systems. Weather conditions influence fishing opportunities, rare species provide exciting milestones, and a wide assortment of upgrades continually gives players something to pursue. Unlike many idle titles that rely heavily on waiting, Lured In consistently rewards active participation while still accommodating players who prefer a more relaxed pace. Its progression systems are thoughtfully paced, offering a constant sense of accomplishment without becoming overwhelming.
The presentation complements the gameplay exceptionally well. Lured In adopts a colorful and inviting visual style that fits its cozy atmosphere. The aquarium itself becomes a personal project, allowing players to customize layouts, decorate their establishment, and unlock cosmetic options for their character. These additions may not significantly alter the mechanics, but they strengthen the player's attachment to their growing business. Watching a once-humble aquarium transform into a bustling attraction filled with rare and exotic fish is easily one of the most satisfying aspects of the experience.
The title also deserves praise for its accessibility. Built with modest hardware requirements, it runs comfortably on a wide range of systems and offers extensive language support thanks to both developer efforts and community contributions. There is a playful personality woven throughout the game's presentation, from its humorous descriptions to its lighthearted approach to progression. Furthermore, the developers have outlined plans for future updates, including additional features and refinements, suggesting that the game will continue to evolve after launch.
While players looking for a deeply complex management simulator may find some of the systems relatively straightforward, Lured In succeeds by focusing on accessibility and charm. Its blend of idle mechanics, collection elements, and business management creates a gameplay loop that is difficult to put down. Every new fish caught, tank unlocked, and upgrade purchased contributes to a gratifying sense of growth that keeps the experience engaging from start to finish.
Lured In is a delightful indie title that understands the appeal of incremental games and enhances it with a unique aquarium theme. It offers an inviting world filled with meaningful progression, enjoyable customization, and plenty of reasons to keep coming back for one more fishing trip. For fans of cozy management experiences and idle games alike, it delivers a relaxing and rewarding adventure that comfortably earns its place among the genre's standout releases.
Rating: 7/10</t>
        </is>
      </c>
      <c r="C40" t="inlineStr">
        <is>
          <t>Положительный</t>
        </is>
      </c>
      <c r="D40" t="inlineStr">
        <is>
          <t>english</t>
        </is>
      </c>
      <c r="E40" t="inlineStr">
        <is>
          <t>2026-07-25 13:27:10</t>
        </is>
      </c>
      <c r="F40" t="n">
        <v>0</v>
      </c>
      <c r="G40" t="n">
        <v>0</v>
      </c>
      <c r="H40" t="n">
        <v>31954</v>
      </c>
      <c r="I40" t="n">
        <v>23418</v>
      </c>
      <c r="J40" t="n">
        <v>12.07</v>
      </c>
    </row>
    <row r="41">
      <c r="A41">
        <f>HYPERLINK("https://steamcommunity.com/profiles/76561198401702651/recommended/4178020/#review_231225256", "76561198401702651")</f>
        <v/>
      </c>
      <c r="B41" t="inlineStr">
        <is>
          <t>Super fun and enjoyable, looking forward to more updates!</t>
        </is>
      </c>
      <c r="C41" t="inlineStr">
        <is>
          <t>Положительный</t>
        </is>
      </c>
      <c r="D41" t="inlineStr">
        <is>
          <t>english</t>
        </is>
      </c>
      <c r="E41" t="inlineStr">
        <is>
          <t>2026-07-25 00:42:12</t>
        </is>
      </c>
      <c r="F41" t="n">
        <v>0</v>
      </c>
      <c r="G41" t="n">
        <v>0</v>
      </c>
      <c r="H41" t="n">
        <v>106</v>
      </c>
      <c r="I41" t="n">
        <v>20</v>
      </c>
      <c r="J41" t="n">
        <v>8.48</v>
      </c>
    </row>
    <row r="42">
      <c r="A42">
        <f>HYPERLINK("https://steamcommunity.com/profiles/76561198835344505/recommended/4178020/#review_231196006", "76561198835344505")</f>
        <v/>
      </c>
      <c r="B42" t="inlineStr">
        <is>
          <t>느좋도트느좋브금  성장하는맛 좋아하는 요소들만큼 재미기댓값은 안나옴 물고기종적고 뽕맛적음 이런겜 만들어준건 ㄳ</t>
        </is>
      </c>
      <c r="C42" t="inlineStr">
        <is>
          <t>Положительный</t>
        </is>
      </c>
      <c r="D42" t="inlineStr">
        <is>
          <t>koreana</t>
        </is>
      </c>
      <c r="E42" t="inlineStr">
        <is>
          <t>2026-07-24 17:31:15</t>
        </is>
      </c>
      <c r="F42" t="n">
        <v>0</v>
      </c>
      <c r="G42" t="n">
        <v>0</v>
      </c>
      <c r="H42" t="n">
        <v>0</v>
      </c>
      <c r="I42" t="n">
        <v>4</v>
      </c>
      <c r="J42" t="n">
        <v>7.38</v>
      </c>
    </row>
    <row r="43">
      <c r="A43">
        <f>HYPERLINK("https://steamcommunity.com/profiles/76561198116841975/recommended/4178020/#review_231146740", "76561198116841975")</f>
        <v/>
      </c>
      <c r="B43" t="inlineStr">
        <is>
          <t>Fantastic cozy game, perfect for second monitor chilling out.</t>
        </is>
      </c>
      <c r="C43" t="inlineStr">
        <is>
          <t>Положительный</t>
        </is>
      </c>
      <c r="D43" t="inlineStr">
        <is>
          <t>english</t>
        </is>
      </c>
      <c r="E43" t="inlineStr">
        <is>
          <t>2026-07-24 00:56:13</t>
        </is>
      </c>
      <c r="F43" t="n">
        <v>0</v>
      </c>
      <c r="G43" t="n">
        <v>0</v>
      </c>
      <c r="H43" t="n">
        <v>0</v>
      </c>
      <c r="I43" t="n">
        <v>2</v>
      </c>
      <c r="J43" t="n">
        <v>137.9</v>
      </c>
    </row>
    <row r="44">
      <c r="A44">
        <f>HYPERLINK("https://steamcommunity.com/profiles/76561198159186318/recommended/4178020/#review_231076984", "76561198159186318")</f>
        <v/>
      </c>
      <c r="B44" t="inlineStr">
        <is>
          <t>What's here is decent but I'd love to see a little more of everything added. It could use more fish, tanks and decorations. The final achievement, that I did not complete, is really grindy. 
I got almost 20 hours chasing achievements and setting up my aquarium just how I wanted and I feel it was worth the low price, especially on sale, but it needs a little more for a more enthusiastic thumbs up.</t>
        </is>
      </c>
      <c r="C44" t="inlineStr">
        <is>
          <t>Положительный</t>
        </is>
      </c>
      <c r="D44" t="inlineStr">
        <is>
          <t>english</t>
        </is>
      </c>
      <c r="E44" t="inlineStr">
        <is>
          <t>2026-07-23 02:32:15</t>
        </is>
      </c>
      <c r="F44" t="n">
        <v>0</v>
      </c>
      <c r="G44" t="n">
        <v>0</v>
      </c>
      <c r="H44" t="n">
        <v>0</v>
      </c>
      <c r="I44" t="n">
        <v>154</v>
      </c>
      <c r="J44" t="n">
        <v>19.77</v>
      </c>
    </row>
    <row r="45">
      <c r="A45">
        <f>HYPERLINK("https://steamcommunity.com/profiles/76561199870936656/recommended/4178020/#review_231017612", "76561199870936656")</f>
        <v/>
      </c>
      <c r="B45" t="inlineStr">
        <is>
          <t>Its a cozy game with good ideas and interesting mechanics but I feel there is a lack of content, considering this is a full launch and could get zero  updates anymore. Its easy to get almost all fish in 8 hours or so (I got my saved file from the demo and in total i played like 8 hours), and the fishing aspect of the game can get boring with time, there are always the same minigames and there is never a dificulty to complete it. I was expecting the minigames to get harder when I was getting to other biomes but they never are, not even for legendary fish, and i think that makes fishing a little bit repetitive. The lures seemed as a good new way to experiment with fishing but all of them are small boosts that are so easy to get, its never a goal to buy them cause they are so cheap. Maybe the fishing should be more diverse, and some fish could just be caught with certain weather, corner of the map of specific conditions. I dont like throwing the bait everytime in the same way and without any other preparation, and getting all the fish just like that.
I like the shop aspect of the game, but again the decoration opportunities are really lacking and there is not many things to do. The algae is an interesting idea but whats the point of spending money updating your sponge if you can just desactivate "algae" in the menu. There are not a lot of things to put around the shop, the game has chairs, sofas and a "lava lamp" and thats it. Also you can fit a small amout of tanks for all the fish the game has. The "dog" or the "chef" npcs are good concepts that i enjoyed and i wish to see more of that interactions in the future. 
The balance seems off because its easy to get most of the investigation achievements and updates in a couple of hours and the biomes can be unlocked pretty easily. I was surprised to be in the endgame and in the last biome so fast. I wouldnt be this harsh if it wasnt a full launch, cause to be honest, seems like a good demo with solid ideas but still in the works. And I heard the developer is a nice guy who actually interacts a lot with the community, I just think this game can improve and idk if the price is far for the content im getting.</t>
        </is>
      </c>
      <c r="C45" t="inlineStr">
        <is>
          <t>Отрицательный</t>
        </is>
      </c>
      <c r="D45" t="inlineStr">
        <is>
          <t>english</t>
        </is>
      </c>
      <c r="E45" t="inlineStr">
        <is>
          <t>2026-07-22 05:53:55</t>
        </is>
      </c>
      <c r="F45" t="n">
        <v>1</v>
      </c>
      <c r="G45" t="n">
        <v>0</v>
      </c>
      <c r="H45" t="n">
        <v>0</v>
      </c>
      <c r="I45" t="n">
        <v>1</v>
      </c>
      <c r="J45" t="n">
        <v>3.15</v>
      </c>
    </row>
    <row r="46">
      <c r="A46">
        <f>HYPERLINK("https://steamcommunity.com/profiles/76561198104070389/recommended/4178020/#review_231013224", "76561198104070389")</f>
        <v/>
      </c>
      <c r="B46" t="inlineStr">
        <is>
          <t>Solid foundation, dev plans to add more and - quite honestly - it needs it.
Biggest complaint is that I just don't have a lot of reasons to keep playing it right now - I could grind more ascensions to get.... more offline progression? That I don't need? lol
Anyhow, I still can recommend, can't wait to see what more they add to it!</t>
        </is>
      </c>
      <c r="C46" t="inlineStr">
        <is>
          <t>Положительный</t>
        </is>
      </c>
      <c r="D46" t="inlineStr">
        <is>
          <t>english</t>
        </is>
      </c>
      <c r="E46" t="inlineStr">
        <is>
          <t>2026-07-22 04:15:31</t>
        </is>
      </c>
      <c r="F46" t="n">
        <v>0</v>
      </c>
      <c r="G46" t="n">
        <v>0</v>
      </c>
      <c r="H46" t="n">
        <v>0</v>
      </c>
      <c r="I46" t="n">
        <v>26</v>
      </c>
      <c r="J46" t="n">
        <v>7.47</v>
      </c>
    </row>
    <row r="47">
      <c r="A47">
        <f>HYPERLINK("https://steamcommunity.com/profiles/76561199630002268/recommended/4178020/#review_230993137", "76561199630002268")</f>
        <v/>
      </c>
      <c r="B47" t="inlineStr">
        <is>
          <t>Игра мне очень понравилась, нудно конечно одно и тоже делать: рыбачишь,покупаешь рыбачишь,покупаешь рыбачишь,покупаешь, но что то мне в этой игре понравилось. Что советую сделать сделать намного больше иследований, доработать перевод на русский ну и сделать длинее систему перерождений</t>
        </is>
      </c>
      <c r="C47" t="inlineStr">
        <is>
          <t>Положительный</t>
        </is>
      </c>
      <c r="D47" t="inlineStr">
        <is>
          <t>russian</t>
        </is>
      </c>
      <c r="E47" t="inlineStr">
        <is>
          <t>2026-07-21 22:37:20</t>
        </is>
      </c>
      <c r="F47" t="n">
        <v>0</v>
      </c>
      <c r="G47" t="n">
        <v>0</v>
      </c>
      <c r="H47" t="n">
        <v>138</v>
      </c>
      <c r="I47" t="n">
        <v>5</v>
      </c>
      <c r="J47" t="n">
        <v>6.88</v>
      </c>
    </row>
    <row r="48">
      <c r="A48">
        <f>HYPERLINK("https://steamcommunity.com/profiles/76561199229897020/recommended/4178020/#review_230989387", "76561199229897020")</f>
        <v/>
      </c>
      <c r="B48" t="inlineStr">
        <is>
          <t>a nice take on a fishing game, the music is extremely relaxing and enjoyable so much so I like to play this game without a podcast like I usually do for fishing sims. I wish there was a way to toggle on and off each minigame, I enjoy them all but one where you have to make fast circles to reel in. There isnt alot of variety when it comes to decoration and customization except in the tanks. I hope this game gets more content as after a few hours the ascend loop becomes dull and you max out your skill tree. overall an enjoyable game but less content than I hoped</t>
        </is>
      </c>
      <c r="C48" t="inlineStr">
        <is>
          <t>Положительный</t>
        </is>
      </c>
      <c r="D48" t="inlineStr">
        <is>
          <t>english</t>
        </is>
      </c>
      <c r="E48" t="inlineStr">
        <is>
          <t>2026-07-21 21:36:38</t>
        </is>
      </c>
      <c r="F48" t="n">
        <v>0</v>
      </c>
      <c r="G48" t="n">
        <v>0</v>
      </c>
      <c r="H48" t="n">
        <v>0</v>
      </c>
      <c r="I48" t="n">
        <v>4</v>
      </c>
      <c r="J48" t="n">
        <v>4.22</v>
      </c>
    </row>
    <row r="49">
      <c r="A49">
        <f>HYPERLINK("https://steamcommunity.com/profiles/76561198029075508/recommended/4178020/#review_230948448", "76561198029075508")</f>
        <v/>
      </c>
      <c r="B49" t="inlineStr">
        <is>
          <t>Incredibly addictive game. Very fun watching your money and research counter go up letting you buy all those upgrades.</t>
        </is>
      </c>
      <c r="C49" t="inlineStr">
        <is>
          <t>Положительный</t>
        </is>
      </c>
      <c r="D49" t="inlineStr">
        <is>
          <t>english</t>
        </is>
      </c>
      <c r="E49" t="inlineStr">
        <is>
          <t>2026-07-21 06:52:19</t>
        </is>
      </c>
      <c r="F49" t="n">
        <v>0</v>
      </c>
      <c r="G49" t="n">
        <v>0</v>
      </c>
      <c r="H49" t="n">
        <v>0</v>
      </c>
      <c r="I49" t="n">
        <v>1</v>
      </c>
      <c r="J49" t="n">
        <v>9.4</v>
      </c>
    </row>
    <row r="50">
      <c r="A50">
        <f>HYPERLINK("https://steamcommunity.com/profiles/76561198165713629/recommended/4178020/#review_230928976", "76561198165713629")</f>
        <v/>
      </c>
      <c r="B50" t="inlineStr">
        <is>
          <t>Absolutely amazing game! I enjoyed every minute of it. The gameplay is relaxing, addictive, and incredibly satisfying. Catching fish, upgrading the aquarium, decorating everything, and watching your business grow never gets boring.
The progression feels rewarding, the art style is beautiful, and the soundtrack creates such a cozy atmosphere. It’s one of those games you start “just for a few minutes” and suddenly hours have passed.
The developers clearly put a lot of love into this game. If you enjoy cozy management or idle games, this is an easy recommendation. I can’t wait to see what future updates bring. Highly recommended!</t>
        </is>
      </c>
      <c r="C50" t="inlineStr">
        <is>
          <t>Положительный</t>
        </is>
      </c>
      <c r="D50" t="inlineStr">
        <is>
          <t>english</t>
        </is>
      </c>
      <c r="E50" t="inlineStr">
        <is>
          <t>2026-07-21 00:41:09</t>
        </is>
      </c>
      <c r="F50" t="n">
        <v>0</v>
      </c>
      <c r="G50" t="n">
        <v>0</v>
      </c>
      <c r="H50" t="n">
        <v>0</v>
      </c>
      <c r="I50" t="n">
        <v>1</v>
      </c>
      <c r="J50" t="n">
        <v>19.87</v>
      </c>
    </row>
    <row r="51">
      <c r="A51">
        <f>HYPERLINK("https://steamcommunity.com/profiles/76561198004524558/recommended/4178020/#review_230871499", "76561198004524558")</f>
        <v/>
      </c>
      <c r="B51" t="inlineStr">
        <is>
          <t>There isn't much to actually do, but it's charming enough to get a few hours worth. If the price reflects your idea of worthiness for a few hours of fun, go ahead and grab it. I hope to see updates to the game to get more playtime with it.</t>
        </is>
      </c>
      <c r="C51" t="inlineStr">
        <is>
          <t>Положительный</t>
        </is>
      </c>
      <c r="D51" t="inlineStr">
        <is>
          <t>english</t>
        </is>
      </c>
      <c r="E51" t="inlineStr">
        <is>
          <t>2026-07-20 04:30:48</t>
        </is>
      </c>
      <c r="F51" t="n">
        <v>0</v>
      </c>
      <c r="G51" t="n">
        <v>0</v>
      </c>
      <c r="H51" t="n">
        <v>0</v>
      </c>
      <c r="I51" t="n">
        <v>61</v>
      </c>
      <c r="J51" t="n">
        <v>18.03</v>
      </c>
    </row>
    <row r="52">
      <c r="A52">
        <f>HYPERLINK("https://steamcommunity.com/profiles/76561198020756569/recommended/4178020/#review_230841204", "76561198020756569")</f>
        <v/>
      </c>
      <c r="B52" t="inlineStr">
        <is>
          <t>Simple, relaxing, and surprisingly addictive. The pixel art is charming, the fishing feels satisfying, and it's a perfect game to unwind with. Definitely worth checking out if you enjoy cozy indie games</t>
        </is>
      </c>
      <c r="C52" t="inlineStr">
        <is>
          <t>Положительный</t>
        </is>
      </c>
      <c r="D52" t="inlineStr">
        <is>
          <t>english</t>
        </is>
      </c>
      <c r="E52" t="inlineStr">
        <is>
          <t>2026-07-19 20:02:25</t>
        </is>
      </c>
      <c r="F52" t="n">
        <v>0</v>
      </c>
      <c r="G52" t="n">
        <v>0</v>
      </c>
      <c r="H52" t="n">
        <v>184</v>
      </c>
      <c r="I52" t="n">
        <v>4</v>
      </c>
      <c r="J52" t="n">
        <v>9</v>
      </c>
    </row>
    <row r="53">
      <c r="A53">
        <f>HYPERLINK("https://steamcommunity.com/profiles/76561198840357860/recommended/4178020/#review_230819965", "76561198840357860")</f>
        <v/>
      </c>
      <c r="B53" t="inlineStr">
        <is>
          <t>the game as it stands right now could use abit more work, i'll try to be brief and not echo points others have already made.
the ascension/rebirth/reset mechanic whatever you want to call it feels abit too brief, i've only ascended about twice and i have almost everything unlocked safe for 2 left and locking general quality of life things behind ascending feels arbitrary like having your customized decorated tank only carry over after you accumulated about 5 ascension point to unlock it, while i understand where its coming from it does ultimately feel annoying to discover on your first ascension.
It was neat to see how the game came to be on youtube, hope you'll keep up the work.</t>
        </is>
      </c>
      <c r="C53" t="inlineStr">
        <is>
          <t>Положительный</t>
        </is>
      </c>
      <c r="D53" t="inlineStr">
        <is>
          <t>english</t>
        </is>
      </c>
      <c r="E53" t="inlineStr">
        <is>
          <t>2026-07-19 13:48:58</t>
        </is>
      </c>
      <c r="F53" t="n">
        <v>0</v>
      </c>
      <c r="G53" t="n">
        <v>0</v>
      </c>
      <c r="H53" t="n">
        <v>103</v>
      </c>
      <c r="I53" t="n">
        <v>11</v>
      </c>
      <c r="J53" t="n">
        <v>14.85</v>
      </c>
    </row>
    <row r="54">
      <c r="A54">
        <f>HYPERLINK("https://steamcommunity.com/profiles/76561198253781535/recommended/4178020/#review_230808901", "76561198253781535")</f>
        <v/>
      </c>
      <c r="B54" t="inlineStr">
        <is>
          <t>It is new and still in progress, but it is adorable and cozy and the devs are very responsive. Highly recommend for anyone who liked fishing in stardew valley, people who have or want aquariums irl, and anyone looking to support cozy indie game developers.</t>
        </is>
      </c>
      <c r="C54" t="inlineStr">
        <is>
          <t>Положительный</t>
        </is>
      </c>
      <c r="D54" t="inlineStr">
        <is>
          <t>english</t>
        </is>
      </c>
      <c r="E54" t="inlineStr">
        <is>
          <t>2026-07-19 09:35:58</t>
        </is>
      </c>
      <c r="F54" t="n">
        <v>0</v>
      </c>
      <c r="G54" t="n">
        <v>0</v>
      </c>
      <c r="H54" t="n">
        <v>0</v>
      </c>
      <c r="I54" t="n">
        <v>5</v>
      </c>
      <c r="J54" t="n">
        <v>13.5</v>
      </c>
    </row>
    <row r="55">
      <c r="A55">
        <f>HYPERLINK("https://steamcommunity.com/profiles/76561198330148723/recommended/4178020/#review_230807865", "76561198330148723")</f>
        <v/>
      </c>
      <c r="B55" t="inlineStr">
        <is>
          <t>Game is very nice, only played for a bit so far but im sure i will continue playing it in my free time just to unwind and zone out.
Hopefully this review can be helpful for people that consider purchasing and the developer to maybe take my recommendations. the list of things below are just what i've thought of with only half an hour on the game.
Likes -
- Fish tank decorating (able to scale decorations, rotate, etc with no limit that i can see so far)
- Beautiful Pixel-style graphics
- Chill gameplay, with lots of built in QoL features for people that want an even more chill experience
- Fun mini-games with various fishing mechanics from other games that i've seen that have a fishing feature.
Improvements -
- Make the fish in the fish tanks feel more alive (they kinda just float around and dont have too much movement)
- More decorations, maybe different styles of fish tanks (vertical cylinders, shallow longer tanks, etc)
- Make fish "eat" the fish food or go towards where you dropped it when you use the item so it seems like they're attracted to it.
Future Content -
- More fishing spots (or just more fish added to already existing locations
- Upgraded fishing rod to catch the new species added (if the dev chooses to add new fish to the starter pond for example that you could only catch via the upgraded rod)
- Fish patterns (Koi having a random pattern out of 100 different ones when caught for example)
- Fish variants (Albino, Huge, Tiny, Rare patterns, etc)
with all that being said for a game released 2 days ago its an easy 8/10 in my book with LOTS of room to grow! (as long as the dev doesnt abandon it) *cough* webfishing</t>
        </is>
      </c>
      <c r="C55" t="inlineStr">
        <is>
          <t>Положительный</t>
        </is>
      </c>
      <c r="D55" t="inlineStr">
        <is>
          <t>english</t>
        </is>
      </c>
      <c r="E55" t="inlineStr">
        <is>
          <t>2026-07-19 09:13:58</t>
        </is>
      </c>
      <c r="F55" t="n">
        <v>0</v>
      </c>
      <c r="G55" t="n">
        <v>0</v>
      </c>
      <c r="H55" t="n">
        <v>91</v>
      </c>
      <c r="I55" t="n">
        <v>1</v>
      </c>
      <c r="J55" t="n">
        <v>2.25</v>
      </c>
    </row>
    <row r="56">
      <c r="A56">
        <f>HYPERLINK("https://steamcommunity.com/profiles/76561199809717266/recommended/4178020/#review_230794623", "76561199809717266")</f>
        <v/>
      </c>
      <c r="B56" t="inlineStr">
        <is>
          <t>It feels really good to be in this aquarium no matter how fast the time can pass in real life: chill vibes, calm and relaxing music all along, really neat pixelart. Wavy water animation, and some funny touch in some description or title here and there. I'm not used to play these kind of games at all, but I'm definitely starting to be fond of them already. It's a game that you can play for a full afternoon of pure relax &amp; chill mode.
I'm sure their is ways to optimise everything, to go really fast, but you can also simply play at your own pace, buy things when you have enough ressources here and there, and let the flow of the game rock you gently.
The mini games are a very nice element, being randomize, some are easier than others, which is always a pleasure to have a good rng and get an easier one from time to time. But even the hardest one (for me) I managed to figured it out after 4 fails initially, and now I really get it each time I encounter it.
Also there is a lot of details &amp; nice touch, like the secret achievement is one definitely, the wave movement &amp; fish dance, sound effect, decoration, aquarium decoration visible even when you're not zoomed inside an aquarium.
Well you get it, you have a lot of things to do, at your own pace, and you could spend hours without counting them. And there is even afk mechanic, so it's always nice to see that even if you're not playing for a minute, the game still keeps progressing. I also feel it's really well balanced. The only downside I see for now is that I feel the ascension is really worth once, using the 6 points I had at the moment I did it, so I'm not sure if I'll ascend again any time soon, but again, it's optimisation, and maybe I get too far, or I'm not aware of certain tricks, as this is also a chill game to relax first of all.
Go for it, without a doubt!</t>
        </is>
      </c>
      <c r="C56" t="inlineStr">
        <is>
          <t>Положительный</t>
        </is>
      </c>
      <c r="D56" t="inlineStr">
        <is>
          <t>english</t>
        </is>
      </c>
      <c r="E56" t="inlineStr">
        <is>
          <t>2026-07-19 04:25:23</t>
        </is>
      </c>
      <c r="F56" t="n">
        <v>0</v>
      </c>
      <c r="G56" t="n">
        <v>0</v>
      </c>
      <c r="H56" t="n">
        <v>2</v>
      </c>
      <c r="I56" t="n">
        <v>1</v>
      </c>
      <c r="J56" t="n">
        <v>2.65</v>
      </c>
    </row>
    <row r="57">
      <c r="A57">
        <f>HYPERLINK("https://steamcommunity.com/profiles/76561198030828143/recommended/4178020/#review_230782134", "76561198030828143")</f>
        <v/>
      </c>
      <c r="B57" t="inlineStr">
        <is>
          <t>Gutes Spiel für kleines Geld.
Die Features sind im Moment noch Überschaubar und es gibt wenig Dekorationen, dafür aber einige Fischarten.
Das Angeln macht Spaß und es gibt mehrere Minni-Spiele mit denen man die Fische angelt.
Die Minni-Spiele kann man aber Optional auch abschalten falls einen so etwas nervt. Ich fand sie aber gut.
Der Developer liest sich Vorschläge der Spieler durch Reagiert freundlich auf Anregungen und hat sogar Dinge die mich genervt haben versprochen anzusehen und anzupassen.
Mich hat zum Beispiel das laute *Pling* Geräusch genervt wenn man erfolgreich einen Fisch fängt. Oder die Animation der Brechenden Wellen am Strand die mehr aussehen wie zuckende Linien. Jedwede Flackernde Animationen sind mir zuwider, besonders wenn sie in einer so Häufigen Frequenz auftreten.
Aber der Rest der Sounds und die Animationen sind gut gelungen. Die Pixel Menschen haben natürlich diese Typisch sich wiederholenden "Atem" oder Oberkörper Bewegungen wie man sie aus vielen anderen Pixel Spielen kennt. Aber besonders zu erwähnen sind die (bis auf die Wellen am Strand) tollen Wasser Animationen.
Auch die Fisch Modelle sehen Pixel Mäßig cool aus und man ist Stolz wenn man einen besonders seltenen Fisch fängt. Später kann man Synergien freischalten was bewirkt das man Bonus Geld bekommt wenn man bestimmte Fisch zusammen in ein Aquarium steckt. Eine ausführliche Fischpedia gibt es auch, man kann Forschen und den Shop Upgraden. Fische entweder in ein Aquarium stecken, direkt Verkaufen oder durch Anfragen von Köchen auch Quest artig einem im Laden stehenden Koch NPC verkaufen.
Endgame ist im moment die möglichkeit den Shop zu Resetten und Resett Punkte zu erhalten. Je mehr Geld man ausgegeben hat für den Shop um so mehr Resett Punkte bekommt man. Diese kann man dann in Mächtige Upgrades Investieren die dauerhaft aktiv sind auch nach weiteren Resetts: Doppeltes Einkommen, Doppelte und vierfache Forschungspunkte, die erwähnte Synergie, Offline Einnahmen Multiplikatoren und Effizienz bis hin zu 16 Stunden lang offline Einkommen bei 100%er Effizienz zum Beispiel.
Ansonsten natürlich alle Fischarten fangen und Synergien durch Experimentieren herausfinden.
Der Developer Plant auch weitere Updates und hört sich wie gesagt auch Vorschläge an Reagiert sogar wirklich Schnell im Steam Forum auf Anfragen und Posts.
Für den Preis auf jeden Fall zuschlagen.</t>
        </is>
      </c>
      <c r="C57" t="inlineStr">
        <is>
          <t>Положительный</t>
        </is>
      </c>
      <c r="D57" t="inlineStr">
        <is>
          <t>german</t>
        </is>
      </c>
      <c r="E57" t="inlineStr">
        <is>
          <t>2026-07-19 00:48:52</t>
        </is>
      </c>
      <c r="F57" t="n">
        <v>0</v>
      </c>
      <c r="G57" t="n">
        <v>0</v>
      </c>
      <c r="H57" t="n">
        <v>0</v>
      </c>
      <c r="I57" t="n">
        <v>105</v>
      </c>
      <c r="J57" t="n">
        <v>17.38</v>
      </c>
    </row>
    <row r="58">
      <c r="A58">
        <f>HYPERLINK("https://steamcommunity.com/profiles/76561197994679213/recommended/4178020/#review_230816197", "76561197994679213")</f>
        <v/>
      </c>
      <c r="B58" t="inlineStr">
        <is>
          <t>It's a very simple fishing idle incremental game. Price is a tad too high for this scope, should be around $3 imo.
You play simple fishing minigames on water bodies to collect fish, place them in aquariums and purchase upgrades to receive passive income from visitors. That's about it.
There is an ascension mechanic but it feels tacked on just for the sake of having it, as there is no deep ascension strategies, I got almost all unlocked after just 1 reset. There is technically a little bit of strategy because you can unlock fish-combos where in theory you combine certain type of fish in aquariums to get a multiplier boosting your income; problem is that those combos derive from lower-income fish. Meaning, you get less income with combos than just spamming the most expensive fish without combos. Balance oversight.
With around 8-9 hours I have unlocked and maxed everything there is to see, minus a single ascension/trillion dollars. So no more content except waiting. Overall, not a terrible game, a very mediocre slightly overpriced idle game. Not worth it at current price, imo.</t>
        </is>
      </c>
      <c r="C58" t="inlineStr">
        <is>
          <t>Отрицательный</t>
        </is>
      </c>
      <c r="D58" t="inlineStr">
        <is>
          <t>english</t>
        </is>
      </c>
      <c r="E58" t="inlineStr">
        <is>
          <t>2026-07-19 12:26:35</t>
        </is>
      </c>
      <c r="F58" t="n">
        <v>2</v>
      </c>
      <c r="G58" t="n">
        <v>1</v>
      </c>
      <c r="H58" t="n">
        <v>1060</v>
      </c>
      <c r="I58" t="n">
        <v>159</v>
      </c>
      <c r="J58" t="n">
        <v>8.85</v>
      </c>
    </row>
    <row r="59">
      <c r="A59">
        <f>HYPERLINK("https://steamcommunity.com/profiles/76561198449894729/recommended/4178020/#review_231016370", "76561198449894729")</f>
        <v/>
      </c>
      <c r="B59" t="inlineStr">
        <is>
          <t>살짝뭔가 테크트리나 컨텐츠가 아쉬움...  마치 얼엑이나 베타테스트 하는 느낌 받았어요.</t>
        </is>
      </c>
      <c r="C59" t="inlineStr">
        <is>
          <t>Положительный</t>
        </is>
      </c>
      <c r="D59" t="inlineStr">
        <is>
          <t>koreana</t>
        </is>
      </c>
      <c r="E59" t="inlineStr">
        <is>
          <t>2026-07-22 05:25:34</t>
        </is>
      </c>
      <c r="F59" t="n">
        <v>2</v>
      </c>
      <c r="G59" t="n">
        <v>0</v>
      </c>
      <c r="H59" t="n">
        <v>618</v>
      </c>
      <c r="I59" t="n">
        <v>201</v>
      </c>
      <c r="J59" t="n">
        <v>7.87</v>
      </c>
    </row>
    <row r="60">
      <c r="A60">
        <f>HYPERLINK("https://steamcommunity.com/profiles/76561197975769731/recommended/4178020/#review_230734302", "76561197975769731")</f>
        <v/>
      </c>
      <c r="B60" t="inlineStr">
        <is>
          <t>cute game
seems to be lacking content idk not a lot of stuff to unlock?</t>
        </is>
      </c>
      <c r="C60" t="inlineStr">
        <is>
          <t>Положительный</t>
        </is>
      </c>
      <c r="D60" t="inlineStr">
        <is>
          <t>english</t>
        </is>
      </c>
      <c r="E60" t="inlineStr">
        <is>
          <t>2026-07-18 10:34:14</t>
        </is>
      </c>
      <c r="F60" t="n">
        <v>1</v>
      </c>
      <c r="G60" t="n">
        <v>0</v>
      </c>
      <c r="H60" t="n">
        <v>0</v>
      </c>
      <c r="I60" t="n">
        <v>141</v>
      </c>
      <c r="J60" t="n">
        <v>2.92</v>
      </c>
    </row>
    <row r="61">
      <c r="A61">
        <f>HYPERLINK("https://steamcommunity.com/profiles/76561198184364415/recommended/4178020/#review_230745793", "76561198184364415")</f>
        <v/>
      </c>
      <c r="B61" t="inlineStr">
        <is>
          <t xml:space="preserve">방치형 타이쿤 게임 
방치형이라 좀 지루해진다 싶으면 똥한번싸고 또 지루해지면 밥한번 먹고오면 쭉쭉 밀립니다.
</t>
        </is>
      </c>
      <c r="C61" t="inlineStr">
        <is>
          <t>Положительный</t>
        </is>
      </c>
      <c r="D61" t="inlineStr">
        <is>
          <t>koreana</t>
        </is>
      </c>
      <c r="E61" t="inlineStr">
        <is>
          <t>2026-07-18 14:59:22</t>
        </is>
      </c>
      <c r="F61" t="n">
        <v>2</v>
      </c>
      <c r="G61" t="n">
        <v>0</v>
      </c>
      <c r="H61" t="n">
        <v>199</v>
      </c>
      <c r="I61" t="n">
        <v>65</v>
      </c>
      <c r="J61" t="n">
        <v>2.42</v>
      </c>
    </row>
    <row r="62">
      <c r="A62">
        <f>HYPERLINK("https://steamcommunity.com/profiles/76561198282548772/recommended/4178020/#review_230792428", "76561198282548772")</f>
        <v/>
      </c>
      <c r="B62" t="inlineStr">
        <is>
          <t>I love this game. It is very calm and relaxing, except when I run out of room for the fish and have to organize them all lol.</t>
        </is>
      </c>
      <c r="C62" t="inlineStr">
        <is>
          <t>Положительный</t>
        </is>
      </c>
      <c r="D62" t="inlineStr">
        <is>
          <t>english</t>
        </is>
      </c>
      <c r="E62" t="inlineStr">
        <is>
          <t>2026-07-19 03:41:14</t>
        </is>
      </c>
      <c r="F62" t="n">
        <v>0</v>
      </c>
      <c r="G62" t="n">
        <v>0</v>
      </c>
      <c r="H62" t="n">
        <v>45</v>
      </c>
      <c r="I62" t="n">
        <v>2</v>
      </c>
      <c r="J62" t="n">
        <v>0.6</v>
      </c>
    </row>
    <row r="63">
      <c r="A63">
        <f>HYPERLINK("https://steamcommunity.com/profiles/76561199211217942/recommended/4178020/#review_230761413", "76561199211217942")</f>
        <v/>
      </c>
      <c r="B63" t="inlineStr">
        <is>
          <t>Fun idea there just isnt alot to it. For an "incremental" game there are barely any unlocks, you can easily 100% the game a few hours and it feels very mobile game-ish. especially with the offline earnings which is the best way to get to 100%. 
ita very cute and i do enjoy the fishing, i just think it needs more to justify the price.</t>
        </is>
      </c>
      <c r="C63" t="inlineStr">
        <is>
          <t>Положительный</t>
        </is>
      </c>
      <c r="D63" t="inlineStr">
        <is>
          <t>english</t>
        </is>
      </c>
      <c r="E63" t="inlineStr">
        <is>
          <t>2026-07-18 19:42:20</t>
        </is>
      </c>
      <c r="F63" t="n">
        <v>0</v>
      </c>
      <c r="G63" t="n">
        <v>0</v>
      </c>
      <c r="H63" t="n">
        <v>266</v>
      </c>
      <c r="I63" t="n">
        <v>17</v>
      </c>
      <c r="J63" t="n">
        <v>6.52</v>
      </c>
    </row>
    <row r="64">
      <c r="A64">
        <f>HYPERLINK("https://steamcommunity.com/profiles/76561198026969528/recommended/4178020/#review_230730386", "76561198026969528")</f>
        <v/>
      </c>
      <c r="B64" t="inlineStr">
        <is>
          <t>Totally worth buying if you absolutely love all things fishing + owning an aquarium and decorating. Hope to see more fish added into the game at some point. 10/10!</t>
        </is>
      </c>
      <c r="C64" t="inlineStr">
        <is>
          <t>Положительный</t>
        </is>
      </c>
      <c r="D64" t="inlineStr">
        <is>
          <t>english</t>
        </is>
      </c>
      <c r="E64" t="inlineStr">
        <is>
          <t>2026-07-18 09:05:42</t>
        </is>
      </c>
      <c r="F64" t="n">
        <v>0</v>
      </c>
      <c r="G64" t="n">
        <v>0</v>
      </c>
      <c r="H64" t="n">
        <v>0</v>
      </c>
      <c r="I64" t="n">
        <v>33</v>
      </c>
      <c r="J64" t="n">
        <v>6.8</v>
      </c>
    </row>
    <row r="65">
      <c r="A65">
        <f>HYPERLINK("https://steamcommunity.com/profiles/76561198226073572/recommended/4178020/#review_230914031", "76561198226073572")</f>
        <v/>
      </c>
      <c r="B65" t="inlineStr">
        <is>
          <t>Коротко: 
витрачених коштів та часу шкода.
Трохи довше:
Абсолютно нудна гра. 
Хоч я і отримав всі досягнення, це того не вартувало.
Все що ви робите, це однонманітно ловите рибу в 1 з 5 чи 6 локацій.
Видів риби десь 38. однакові риби нічим не відрізняються одна від одної (розміром, рідкістю і т.п.)
Ви можете купувати акваріуми (звичайний і великий)
Є можливість кастомізувати його, додати водорості, камінчики.
Ти є власником типу ???океанаруму???, але це просто три приміщення з акваріумами.
Можна декорувати приміщення, є крісло, і ще десь 10 різних предметів, які не можна навіть покрутити, щоб змінити напрямок, куди вони дивляться. гра по факту на 2 години. 
Я би повернув гроші за це, але нажаль треба було відійти на декілька годин і я не вимкнув гру...
Повна фігня без сюжету, цікавого геймплею, різноманітності ареалу. Типу, ти навіть ходити не можеш..
Не рекомендую.</t>
        </is>
      </c>
      <c r="C65" t="inlineStr">
        <is>
          <t>Отрицательный</t>
        </is>
      </c>
      <c r="D65" t="inlineStr">
        <is>
          <t>ukrainian</t>
        </is>
      </c>
      <c r="E65" t="inlineStr">
        <is>
          <t>2026-07-20 20:42:24</t>
        </is>
      </c>
      <c r="F65" t="n">
        <v>1</v>
      </c>
      <c r="G65" t="n">
        <v>0</v>
      </c>
      <c r="H65" t="n">
        <v>170</v>
      </c>
      <c r="I65" t="n">
        <v>12</v>
      </c>
      <c r="J65" t="n">
        <v>8.1</v>
      </c>
    </row>
    <row r="66">
      <c r="A66">
        <f>HYPERLINK("https://steamcommunity.com/profiles/76561198085398182/recommended/4178020/#review_230721020", "76561198085398182")</f>
        <v/>
      </c>
      <c r="B66" t="inlineStr">
        <is>
          <t>игра проработана до мелочей, увидел неделю назад демку и ждал с кайфом, за такую цену супер кайф посидеть почилить, париться вообще не надо, все просто и в меру дается, жалко рыбок маловато и декора, но думаю если популизировать то добавят, удачи разрабам, так же девушка с кайфом играет. 
обожаем тематику рыбок!</t>
        </is>
      </c>
      <c r="C66" t="inlineStr">
        <is>
          <t>Положительный</t>
        </is>
      </c>
      <c r="D66" t="inlineStr">
        <is>
          <t>russian</t>
        </is>
      </c>
      <c r="E66" t="inlineStr">
        <is>
          <t>2026-07-18 05:41:48</t>
        </is>
      </c>
      <c r="F66" t="n">
        <v>2</v>
      </c>
      <c r="G66" t="n">
        <v>0</v>
      </c>
      <c r="H66" t="n">
        <v>377</v>
      </c>
      <c r="I66" t="n">
        <v>68</v>
      </c>
      <c r="J66" t="n">
        <v>8.92</v>
      </c>
    </row>
    <row r="67">
      <c r="A67">
        <f>HYPERLINK("https://steamcommunity.com/profiles/76561198143338524/recommended/4178020/#review_230707407", "76561198143338524")</f>
        <v/>
      </c>
      <c r="B67" t="inlineStr">
        <is>
          <t>AMAZING GAME, LOVE IT LOVE IT LOVE IT!!!!! Having a big shop and so many customers feels so rewarding!!!!!
Ignore the 5 minutes of playtime, had time in demo and testing branch as well.</t>
        </is>
      </c>
      <c r="C67" t="inlineStr">
        <is>
          <t>Положительный</t>
        </is>
      </c>
      <c r="D67" t="inlineStr">
        <is>
          <t>english</t>
        </is>
      </c>
      <c r="E67" t="inlineStr">
        <is>
          <t>2026-07-18 01:34:19</t>
        </is>
      </c>
      <c r="F67" t="n">
        <v>9</v>
      </c>
      <c r="G67" t="n">
        <v>0</v>
      </c>
      <c r="H67" t="n">
        <v>0</v>
      </c>
      <c r="I67" t="n">
        <v>5</v>
      </c>
      <c r="J67" t="n">
        <v>5.02</v>
      </c>
    </row>
    <row r="68">
      <c r="A68">
        <f>HYPERLINK("https://steamcommunity.com/profiles/76561198217542840/recommended/4178020/#review_230782941", "76561198217542840")</f>
        <v/>
      </c>
      <c r="B68" t="inlineStr">
        <is>
          <t>fun for 3-4 hours but after that it becomes spuer grindy and not fun. 7/10</t>
        </is>
      </c>
      <c r="C68" t="inlineStr">
        <is>
          <t>Положительный</t>
        </is>
      </c>
      <c r="D68" t="inlineStr">
        <is>
          <t>english</t>
        </is>
      </c>
      <c r="E68" t="inlineStr">
        <is>
          <t>2026-07-19 01:01:50</t>
        </is>
      </c>
      <c r="F68" t="n">
        <v>1</v>
      </c>
      <c r="G68" t="n">
        <v>0</v>
      </c>
      <c r="H68" t="n">
        <v>152</v>
      </c>
      <c r="I68" t="n">
        <v>31</v>
      </c>
      <c r="J68" t="n">
        <v>6.3</v>
      </c>
    </row>
    <row r="69">
      <c r="A69">
        <f>HYPERLINK("https://steamcommunity.com/profiles/76561199226123507/recommended/4178020/#review_230811230", "76561199226123507")</f>
        <v/>
      </c>
      <c r="B69" t="inlineStr">
        <is>
          <t>Considering this game has been out for only a few days I am very surprised but there is a lot more that needs to be added. If they could add more fish that would be a lot better as only 53 are available I have caught them all in 4 hours, adding more regions to fish, possibly mythical fish need to be added, maybe a mini boss something crazy like the kraken, Megalodon, or something else of sorts. Adding better equipment could come in handle like more rods that have their own perks, actual bait that can be used, and more complex designs in the minigames when reeling in fish as the same ones get repetitive. Besides those main factors I am loving this game as it is a relaxing game and am excited to see future updates for sure.</t>
        </is>
      </c>
      <c r="C69" t="inlineStr">
        <is>
          <t>Положительный</t>
        </is>
      </c>
      <c r="D69" t="inlineStr">
        <is>
          <t>english</t>
        </is>
      </c>
      <c r="E69" t="inlineStr">
        <is>
          <t>2026-07-19 10:30:37</t>
        </is>
      </c>
      <c r="F69" t="n">
        <v>0</v>
      </c>
      <c r="G69" t="n">
        <v>0</v>
      </c>
      <c r="H69" t="n">
        <v>0</v>
      </c>
      <c r="I69" t="n">
        <v>21</v>
      </c>
      <c r="J69" t="n">
        <v>12.8</v>
      </c>
    </row>
    <row r="70">
      <c r="A70">
        <f>HYPERLINK("https://steamcommunity.com/profiles/76561197976489665/recommended/4178020/#review_231356157", "76561197976489665")</f>
        <v/>
      </c>
      <c r="B70" t="inlineStr">
        <is>
          <t>It is a fun time killer to put on a second screen. But no real end game.</t>
        </is>
      </c>
      <c r="C70" t="inlineStr">
        <is>
          <t>Положительный</t>
        </is>
      </c>
      <c r="D70" t="inlineStr">
        <is>
          <t>dutch</t>
        </is>
      </c>
      <c r="E70" t="inlineStr">
        <is>
          <t>2026-07-26 17:33:03</t>
        </is>
      </c>
      <c r="F70" t="n">
        <v>0</v>
      </c>
      <c r="G70" t="n">
        <v>0</v>
      </c>
      <c r="H70" t="n">
        <v>511</v>
      </c>
      <c r="I70" t="n">
        <v>55</v>
      </c>
      <c r="J70" t="n">
        <v>10</v>
      </c>
    </row>
    <row r="71">
      <c r="A71">
        <f>HYPERLINK("https://steamcommunity.com/profiles/76561198038020140/recommended/4178020/#review_231226538", "76561198038020140")</f>
        <v/>
      </c>
      <c r="B71" t="inlineStr">
        <is>
          <t>They removed achievements that I spent days grinding for. If they can just delete achievements you achieved, then I won't be playing this anymore.</t>
        </is>
      </c>
      <c r="C71" t="inlineStr">
        <is>
          <t>Отрицательный</t>
        </is>
      </c>
      <c r="D71" t="inlineStr">
        <is>
          <t>english</t>
        </is>
      </c>
      <c r="E71" t="inlineStr">
        <is>
          <t>2026-07-25 01:01:10</t>
        </is>
      </c>
      <c r="F71" t="n">
        <v>0</v>
      </c>
      <c r="G71" t="n">
        <v>0</v>
      </c>
      <c r="H71" t="n">
        <v>0</v>
      </c>
      <c r="I71" t="n">
        <v>3</v>
      </c>
      <c r="J71" t="n">
        <v>3.5</v>
      </c>
    </row>
    <row r="72">
      <c r="A72">
        <f>HYPERLINK("https://steamcommunity.com/profiles/76561197984014584/recommended/4178020/#review_230912204", "76561197984014584")</f>
        <v/>
      </c>
      <c r="B72" t="inlineStr">
        <is>
          <t>Very fun game that kept me busy for a couple day.s</t>
        </is>
      </c>
      <c r="C72" t="inlineStr">
        <is>
          <t>Положительный</t>
        </is>
      </c>
      <c r="D72" t="inlineStr">
        <is>
          <t>english</t>
        </is>
      </c>
      <c r="E72" t="inlineStr">
        <is>
          <t>2026-07-20 20:12:38</t>
        </is>
      </c>
      <c r="F72" t="n">
        <v>0</v>
      </c>
      <c r="G72" t="n">
        <v>0</v>
      </c>
      <c r="H72" t="n">
        <v>0</v>
      </c>
      <c r="I72" t="n">
        <v>10</v>
      </c>
      <c r="J72" t="n">
        <v>22.1</v>
      </c>
    </row>
    <row r="73">
      <c r="A73">
        <f>HYPERLINK("https://steamcommunity.com/profiles/76561197993867402/recommended/4178020/#review_230787006", "76561197993867402")</f>
        <v/>
      </c>
      <c r="B73" t="inlineStr">
        <is>
          <t>only complaint is the total number of aquariums that can be added isn't sufficient to have every fish showcased. hopefully this is in an update</t>
        </is>
      </c>
      <c r="C73" t="inlineStr">
        <is>
          <t>Положительный</t>
        </is>
      </c>
      <c r="D73" t="inlineStr">
        <is>
          <t>english</t>
        </is>
      </c>
      <c r="E73" t="inlineStr">
        <is>
          <t>2026-07-19 02:05:35</t>
        </is>
      </c>
      <c r="F73" t="n">
        <v>2</v>
      </c>
      <c r="G73" t="n">
        <v>0</v>
      </c>
      <c r="H73" t="n">
        <v>0</v>
      </c>
      <c r="I73" t="n">
        <v>4</v>
      </c>
      <c r="J73" t="n">
        <v>21.03</v>
      </c>
    </row>
    <row r="74">
      <c r="A74">
        <f>HYPERLINK("https://steamcommunity.com/profiles/76561198036074539/recommended/4178020/#review_230710502", "76561198036074539")</f>
        <v/>
      </c>
      <c r="B74" t="inlineStr">
        <is>
          <t>I've been having a blast with the demo. I'm already loving the new shop expansions added in the full release! I can't wait to see what other new content and options there are to mess around with</t>
        </is>
      </c>
      <c r="C74" t="inlineStr">
        <is>
          <t>Положительный</t>
        </is>
      </c>
      <c r="D74" t="inlineStr">
        <is>
          <t>english</t>
        </is>
      </c>
      <c r="E74" t="inlineStr">
        <is>
          <t>2026-07-18 02:22:54</t>
        </is>
      </c>
      <c r="F74" t="n">
        <v>2</v>
      </c>
      <c r="G74" t="n">
        <v>1</v>
      </c>
      <c r="H74" t="n">
        <v>1952</v>
      </c>
      <c r="I74" t="n">
        <v>141</v>
      </c>
      <c r="J74" t="n">
        <v>0.67</v>
      </c>
    </row>
    <row r="75">
      <c r="A75">
        <f>HYPERLINK("https://steamcommunity.com/profiles/76561198286119876/recommended/4178020/#review_231471877", "76561198286119876")</f>
        <v/>
      </c>
      <c r="B75" t="inlineStr">
        <is>
          <t>Game's banging. Needs more content but the devs are working on it.</t>
        </is>
      </c>
      <c r="C75" t="inlineStr">
        <is>
          <t>Положительный</t>
        </is>
      </c>
      <c r="D75" t="inlineStr">
        <is>
          <t>english</t>
        </is>
      </c>
      <c r="E75" t="inlineStr">
        <is>
          <t>2026-07-28 03:03:41</t>
        </is>
      </c>
      <c r="F75" t="n">
        <v>0</v>
      </c>
      <c r="G75" t="n">
        <v>0</v>
      </c>
      <c r="H75" t="n">
        <v>0</v>
      </c>
      <c r="I75" t="n">
        <v>3</v>
      </c>
      <c r="J75" t="n">
        <v>3.32</v>
      </c>
    </row>
    <row r="76">
      <c r="A76">
        <f>HYPERLINK("https://steamcommunity.com/profiles/76561198074892156/recommended/4178020/#review_230968735", "76561198074892156")</f>
        <v/>
      </c>
      <c r="B76" t="inlineStr">
        <is>
          <t>めっちゃシンプルだけどまあいいかなーくらいのやつ
だがしげーむ</t>
        </is>
      </c>
      <c r="C76" t="inlineStr">
        <is>
          <t>Положительный</t>
        </is>
      </c>
      <c r="D76" t="inlineStr">
        <is>
          <t>japanese</t>
        </is>
      </c>
      <c r="E76" t="inlineStr">
        <is>
          <t>2026-07-21 15:27:44</t>
        </is>
      </c>
      <c r="F76" t="n">
        <v>0</v>
      </c>
      <c r="G76" t="n">
        <v>0</v>
      </c>
      <c r="H76" t="n">
        <v>0</v>
      </c>
      <c r="I76" t="n">
        <v>216</v>
      </c>
      <c r="J76" t="n">
        <v>9.52</v>
      </c>
    </row>
    <row r="77">
      <c r="A77">
        <f>HYPERLINK("https://steamcommunity.com/profiles/76561199858566037/recommended/4178020/#review_230848744", "76561199858566037")</f>
        <v/>
      </c>
      <c r="B77" t="inlineStr">
        <is>
          <t>nice game but lacks content</t>
        </is>
      </c>
      <c r="C77" t="inlineStr">
        <is>
          <t>Положительный</t>
        </is>
      </c>
      <c r="D77" t="inlineStr">
        <is>
          <t>german</t>
        </is>
      </c>
      <c r="E77" t="inlineStr">
        <is>
          <t>2026-07-19 21:48:43</t>
        </is>
      </c>
      <c r="F77" t="n">
        <v>0</v>
      </c>
      <c r="G77" t="n">
        <v>0</v>
      </c>
      <c r="H77" t="n">
        <v>0</v>
      </c>
      <c r="I77" t="n">
        <v>12</v>
      </c>
      <c r="J77" t="n">
        <v>5.98</v>
      </c>
    </row>
    <row r="78">
      <c r="A78">
        <f>HYPERLINK("https://steamcommunity.com/profiles/76561198060671083/recommended/4178020/#review_231319808", "76561198060671083")</f>
        <v/>
      </c>
      <c r="B78" t="inlineStr">
        <is>
          <t>lol, trillionaire achievement got removed because people were crying that it was unattainable.  Game has been out for about a week and I was already half way there.</t>
        </is>
      </c>
      <c r="C78" t="inlineStr">
        <is>
          <t>Отрицательный</t>
        </is>
      </c>
      <c r="D78" t="inlineStr">
        <is>
          <t>english</t>
        </is>
      </c>
      <c r="E78" t="inlineStr">
        <is>
          <t>2026-07-26 05:13:38</t>
        </is>
      </c>
      <c r="F78" t="n">
        <v>1</v>
      </c>
      <c r="G78" t="n">
        <v>0</v>
      </c>
      <c r="H78" t="n">
        <v>419</v>
      </c>
      <c r="I78" t="n">
        <v>14</v>
      </c>
      <c r="J78" t="n">
        <v>111.67</v>
      </c>
    </row>
    <row r="79">
      <c r="A79">
        <f>HYPERLINK("https://steamcommunity.com/profiles/76561198133994955/recommended/4178020/#review_230736689", "76561198133994955")</f>
        <v/>
      </c>
      <c r="B79" t="inlineStr">
        <is>
          <t>Super fun for what it is, today was the official launch and I have to say that it does not disappoint. I am excited to see what type of content they add in future updates down the road. They took the original tycoon concept with ascension and all and made it into a very cute and well polished game. 10/10</t>
        </is>
      </c>
      <c r="C79" t="inlineStr">
        <is>
          <t>Положительный</t>
        </is>
      </c>
      <c r="D79" t="inlineStr">
        <is>
          <t>english</t>
        </is>
      </c>
      <c r="E79" t="inlineStr">
        <is>
          <t>2026-07-18 11:32:13</t>
        </is>
      </c>
      <c r="F79" t="n">
        <v>0</v>
      </c>
      <c r="G79" t="n">
        <v>0</v>
      </c>
      <c r="H79" t="n">
        <v>0</v>
      </c>
      <c r="I79" t="n">
        <v>3</v>
      </c>
      <c r="J79" t="n">
        <v>4.47</v>
      </c>
    </row>
    <row r="80">
      <c r="A80">
        <f>HYPERLINK("https://steamcommunity.com/profiles/76561198077797724/recommended/4178020/#review_230735232", "76561198077797724")</f>
        <v/>
      </c>
      <c r="B80" t="inlineStr">
        <is>
          <t>Great game! Very fun and chill. I love the mini games and micro management involved in the game! Keep it up and can't wait to see the future of this game.</t>
        </is>
      </c>
      <c r="C80" t="inlineStr">
        <is>
          <t>Положительный</t>
        </is>
      </c>
      <c r="D80" t="inlineStr">
        <is>
          <t>english</t>
        </is>
      </c>
      <c r="E80" t="inlineStr">
        <is>
          <t>2026-07-18 10:56:11</t>
        </is>
      </c>
      <c r="F80" t="n">
        <v>0</v>
      </c>
      <c r="G80" t="n">
        <v>0</v>
      </c>
      <c r="H80" t="n">
        <v>202</v>
      </c>
      <c r="I80" t="n">
        <v>2</v>
      </c>
      <c r="J80" t="n">
        <v>3.58</v>
      </c>
    </row>
    <row r="81">
      <c r="A81">
        <f>HYPERLINK("https://steamcommunity.com/profiles/76561198976061205/recommended/4178020/#review_230712575", "76561198976061205")</f>
        <v/>
      </c>
      <c r="B81" t="inlineStr">
        <is>
          <t>Cute! Nice chill music throughout. Hand cleaning the tanks and feeding the fish is a nice touch. Seems like a great game to sink (or swim) into a few hours at a time</t>
        </is>
      </c>
      <c r="C81" t="inlineStr">
        <is>
          <t>Положительный</t>
        </is>
      </c>
      <c r="D81" t="inlineStr">
        <is>
          <t>english</t>
        </is>
      </c>
      <c r="E81" t="inlineStr">
        <is>
          <t>2026-07-18 02:56:51</t>
        </is>
      </c>
      <c r="F81" t="n">
        <v>1</v>
      </c>
      <c r="G81" t="n">
        <v>0</v>
      </c>
      <c r="H81" t="n">
        <v>0</v>
      </c>
      <c r="I81" t="n">
        <v>23</v>
      </c>
      <c r="J81" t="n">
        <v>0.52</v>
      </c>
    </row>
    <row r="82">
      <c r="A82">
        <f>HYPERLINK("https://steamcommunity.com/profiles/76561198298917699/recommended/4178020/#review_230804047", "76561198298917699")</f>
        <v/>
      </c>
      <c r="B82" t="inlineStr">
        <is>
          <t xml:space="preserve">accidentally killed abuelo..... yolo got an achievement for it though lol
</t>
        </is>
      </c>
      <c r="C82" t="inlineStr">
        <is>
          <t>Положительный</t>
        </is>
      </c>
      <c r="D82" t="inlineStr">
        <is>
          <t>english</t>
        </is>
      </c>
      <c r="E82" t="inlineStr">
        <is>
          <t>2026-07-19 07:48:39</t>
        </is>
      </c>
      <c r="F82" t="n">
        <v>0</v>
      </c>
      <c r="G82" t="n">
        <v>0</v>
      </c>
      <c r="H82" t="n">
        <v>0</v>
      </c>
      <c r="I82" t="n">
        <v>16</v>
      </c>
      <c r="J82" t="n">
        <v>11.07</v>
      </c>
    </row>
    <row r="83">
      <c r="A83">
        <f>HYPERLINK("https://steamcommunity.com/profiles/76561198024441886/recommended/4178020/#review_230736888", "76561198024441886")</f>
        <v/>
      </c>
      <c r="B83" t="inlineStr">
        <is>
          <t>I am having a good time playing so far. There are a lot of casting minigames lol.</t>
        </is>
      </c>
      <c r="C83" t="inlineStr">
        <is>
          <t>Положительный</t>
        </is>
      </c>
      <c r="D83" t="inlineStr">
        <is>
          <t>english</t>
        </is>
      </c>
      <c r="E83" t="inlineStr">
        <is>
          <t>2026-07-18 11:36:12</t>
        </is>
      </c>
      <c r="F83" t="n">
        <v>0</v>
      </c>
      <c r="G83" t="n">
        <v>0</v>
      </c>
      <c r="H83" t="n">
        <v>1465</v>
      </c>
      <c r="I83" t="n">
        <v>34</v>
      </c>
      <c r="J83" t="n">
        <v>2.28</v>
      </c>
    </row>
    <row r="84">
      <c r="A84">
        <f>HYPERLINK("https://steamcommunity.com/profiles/76561198197209983/recommended/4178020/#review_231283167", "76561198197209983")</f>
        <v/>
      </c>
      <c r="B84" t="inlineStr">
        <is>
          <t>Game Freezing Bug
and get's boring fast</t>
        </is>
      </c>
      <c r="C84" t="inlineStr">
        <is>
          <t>Отрицательный</t>
        </is>
      </c>
      <c r="D84" t="inlineStr">
        <is>
          <t>german</t>
        </is>
      </c>
      <c r="E84" t="inlineStr">
        <is>
          <t>2026-07-25 19:24:34</t>
        </is>
      </c>
      <c r="F84" t="n">
        <v>0</v>
      </c>
      <c r="G84" t="n">
        <v>0</v>
      </c>
      <c r="H84" t="n">
        <v>1107</v>
      </c>
      <c r="I84" t="n">
        <v>1</v>
      </c>
      <c r="J84" t="n">
        <v>1.92</v>
      </c>
    </row>
    <row r="85">
      <c r="A85">
        <f>HYPERLINK("https://steamcommunity.com/profiles/76561199141886970/recommended/4178020/#review_231077477", "76561199141886970")</f>
        <v/>
      </c>
      <c r="B85" t="inlineStr">
        <is>
          <t>Very cool game, would recommend, 10/10</t>
        </is>
      </c>
      <c r="C85" t="inlineStr">
        <is>
          <t>Положительный</t>
        </is>
      </c>
      <c r="D85" t="inlineStr">
        <is>
          <t>english</t>
        </is>
      </c>
      <c r="E85" t="inlineStr">
        <is>
          <t>2026-07-23 02:41:12</t>
        </is>
      </c>
      <c r="F85" t="n">
        <v>0</v>
      </c>
      <c r="G85" t="n">
        <v>0</v>
      </c>
      <c r="H85" t="n">
        <v>0</v>
      </c>
      <c r="I85" t="n">
        <v>1</v>
      </c>
      <c r="J85" t="n">
        <v>22.05</v>
      </c>
    </row>
    <row r="86">
      <c r="A86">
        <f>HYPERLINK("https://steamcommunity.com/profiles/76561198280247543/recommended/4178020/#review_230977239", "76561198280247543")</f>
        <v/>
      </c>
      <c r="B86" t="inlineStr">
        <is>
          <t>재미없네용 도파민 인크리멘탈 아이들러 좋아하시는분은 비추</t>
        </is>
      </c>
      <c r="C86" t="inlineStr">
        <is>
          <t>Отрицательный</t>
        </is>
      </c>
      <c r="D86" t="inlineStr">
        <is>
          <t>koreana</t>
        </is>
      </c>
      <c r="E86" t="inlineStr">
        <is>
          <t>2026-07-21 18:21:09</t>
        </is>
      </c>
      <c r="F86" t="n">
        <v>0</v>
      </c>
      <c r="G86" t="n">
        <v>0</v>
      </c>
      <c r="H86" t="n">
        <v>87</v>
      </c>
      <c r="I86" t="n">
        <v>3</v>
      </c>
      <c r="J86" t="n">
        <v>10.18</v>
      </c>
    </row>
    <row r="87">
      <c r="A87">
        <f>HYPERLINK("https://steamcommunity.com/profiles/76561199416380032/recommended/4178020/#review_230847466", "76561199416380032")</f>
        <v/>
      </c>
      <c r="B87" t="inlineStr">
        <is>
          <t>игра ♥♥♥♥♥, потраченного времени жаль.</t>
        </is>
      </c>
      <c r="C87" t="inlineStr">
        <is>
          <t>Отрицательный</t>
        </is>
      </c>
      <c r="D87" t="inlineStr">
        <is>
          <t>russian</t>
        </is>
      </c>
      <c r="E87" t="inlineStr">
        <is>
          <t>2026-07-19 21:31:24</t>
        </is>
      </c>
      <c r="F87" t="n">
        <v>1</v>
      </c>
      <c r="G87" t="n">
        <v>0</v>
      </c>
      <c r="H87" t="n">
        <v>0</v>
      </c>
      <c r="I87" t="n">
        <v>6</v>
      </c>
      <c r="J87" t="n">
        <v>3.4</v>
      </c>
    </row>
    <row r="88">
      <c r="A88">
        <f>HYPERLINK("https://steamcommunity.com/profiles/76561198178694862/recommended/4178020/#review_230842664", "76561198178694862")</f>
        <v/>
      </c>
      <c r="B88" t="inlineStr">
        <is>
          <t>A nice simple cheap relaxing game.</t>
        </is>
      </c>
      <c r="C88" t="inlineStr">
        <is>
          <t>Положительный</t>
        </is>
      </c>
      <c r="D88" t="inlineStr">
        <is>
          <t>english</t>
        </is>
      </c>
      <c r="E88" t="inlineStr">
        <is>
          <t>2026-07-19 20:22:23</t>
        </is>
      </c>
      <c r="F88" t="n">
        <v>0</v>
      </c>
      <c r="G88" t="n">
        <v>0</v>
      </c>
      <c r="H88" t="n">
        <v>0</v>
      </c>
      <c r="I88" t="n">
        <v>17</v>
      </c>
      <c r="J88" t="n">
        <v>20.23</v>
      </c>
    </row>
    <row r="89">
      <c r="A89">
        <f>HYPERLINK("https://steamcommunity.com/profiles/76561199013948494/recommended/4178020/#review_230826468", "76561199013948494")</f>
        <v/>
      </c>
      <c r="B89" t="inlineStr">
        <is>
          <t>THIS GAME SO GOOD MABYE CAN BE IMPROVE FOR SOME CONTENT ABOUT SPECIES KIND OF FISH.</t>
        </is>
      </c>
      <c r="C89" t="inlineStr">
        <is>
          <t>Положительный</t>
        </is>
      </c>
      <c r="D89" t="inlineStr">
        <is>
          <t>english</t>
        </is>
      </c>
      <c r="E89" t="inlineStr">
        <is>
          <t>2026-07-19 16:02:28</t>
        </is>
      </c>
      <c r="F89" t="n">
        <v>0</v>
      </c>
      <c r="G89" t="n">
        <v>0</v>
      </c>
      <c r="H89" t="n">
        <v>0</v>
      </c>
      <c r="I89" t="n">
        <v>2</v>
      </c>
      <c r="J89" t="n">
        <v>7.5</v>
      </c>
    </row>
    <row r="90">
      <c r="A90">
        <f>HYPERLINK("https://steamcommunity.com/profiles/76561199216547215/recommended/4178020/#review_230716777", "76561199216547215")</f>
        <v/>
      </c>
      <c r="B90" t="inlineStr">
        <is>
          <t>The fish taste good especially the oarfish yummers</t>
        </is>
      </c>
      <c r="C90" t="inlineStr">
        <is>
          <t>Положительный</t>
        </is>
      </c>
      <c r="D90" t="inlineStr">
        <is>
          <t>english</t>
        </is>
      </c>
      <c r="E90" t="inlineStr">
        <is>
          <t>2026-07-18 04:15:50</t>
        </is>
      </c>
      <c r="F90" t="n">
        <v>3</v>
      </c>
      <c r="G90" t="n">
        <v>0</v>
      </c>
      <c r="H90" t="n">
        <v>0</v>
      </c>
      <c r="I90" t="n">
        <v>4</v>
      </c>
      <c r="J90" t="n">
        <v>40.57</v>
      </c>
    </row>
    <row r="91">
      <c r="A91">
        <f>HYPERLINK("https://steamcommunity.com/profiles/76561199575174653/recommended/4178020/#review_230808448", "76561199575174653")</f>
        <v/>
      </c>
      <c r="B91" t="inlineStr">
        <is>
          <t>바닥에 떨어진 돈들 좀 누가 안 주워주나</t>
        </is>
      </c>
      <c r="C91" t="inlineStr">
        <is>
          <t>Положительный</t>
        </is>
      </c>
      <c r="D91" t="inlineStr">
        <is>
          <t>koreana</t>
        </is>
      </c>
      <c r="E91" t="inlineStr">
        <is>
          <t>2026-07-19 09:26:05</t>
        </is>
      </c>
      <c r="F91" t="n">
        <v>1</v>
      </c>
      <c r="G91" t="n">
        <v>0</v>
      </c>
      <c r="H91" t="n">
        <v>0</v>
      </c>
      <c r="I91" t="n">
        <v>4</v>
      </c>
      <c r="J91" t="n">
        <v>10.43</v>
      </c>
    </row>
    <row r="92">
      <c r="A92">
        <f>HYPERLINK("https://steamcommunity.com/profiles/76561199065898028/recommended/4178020/#review_230707847", "76561199065898028")</f>
        <v/>
      </c>
      <c r="B92" t="inlineStr">
        <is>
          <t>fun game, relaxing</t>
        </is>
      </c>
      <c r="C92" t="inlineStr">
        <is>
          <t>Положительный</t>
        </is>
      </c>
      <c r="D92" t="inlineStr">
        <is>
          <t>english</t>
        </is>
      </c>
      <c r="E92" t="inlineStr">
        <is>
          <t>2026-07-18 01:40:53</t>
        </is>
      </c>
      <c r="F92" t="n">
        <v>4</v>
      </c>
      <c r="G92" t="n">
        <v>0</v>
      </c>
      <c r="H92" t="n">
        <v>0</v>
      </c>
      <c r="I92" t="n">
        <v>20</v>
      </c>
      <c r="J92" t="n">
        <v>7.83</v>
      </c>
    </row>
    <row r="93">
      <c r="A93">
        <f>HYPERLINK("https://steamcommunity.com/profiles/76561198138348258/recommended/4178020/#review_230958330", "76561198138348258")</f>
        <v/>
      </c>
      <c r="B93" t="inlineStr">
        <is>
          <t>fun game. keen for more content</t>
        </is>
      </c>
      <c r="C93" t="inlineStr">
        <is>
          <t>Положительный</t>
        </is>
      </c>
      <c r="D93" t="inlineStr">
        <is>
          <t>english</t>
        </is>
      </c>
      <c r="E93" t="inlineStr">
        <is>
          <t>2026-07-21 10:55:52</t>
        </is>
      </c>
      <c r="F93" t="n">
        <v>0</v>
      </c>
      <c r="G93" t="n">
        <v>0</v>
      </c>
      <c r="H93" t="n">
        <v>183</v>
      </c>
      <c r="I93" t="n">
        <v>2</v>
      </c>
      <c r="J93" t="n">
        <v>4.87</v>
      </c>
    </row>
    <row r="94">
      <c r="A94">
        <f>HYPERLINK("https://steamcommunity.com/profiles/76561198144478064/recommended/4178020/#review_230830531", "76561198144478064")</f>
        <v/>
      </c>
      <c r="B94" t="inlineStr">
        <is>
          <t>Bien mais bien trop cher pour la durée de vie.</t>
        </is>
      </c>
      <c r="C94" t="inlineStr">
        <is>
          <t>Отрицательный</t>
        </is>
      </c>
      <c r="D94" t="inlineStr">
        <is>
          <t>french</t>
        </is>
      </c>
      <c r="E94" t="inlineStr">
        <is>
          <t>2026-07-19 17:15:04</t>
        </is>
      </c>
      <c r="F94" t="n">
        <v>0</v>
      </c>
      <c r="G94" t="n">
        <v>0</v>
      </c>
      <c r="H94" t="n">
        <v>0</v>
      </c>
      <c r="I94" t="n">
        <v>203</v>
      </c>
      <c r="J94" t="n">
        <v>1.23</v>
      </c>
    </row>
    <row r="95">
      <c r="A95">
        <f>HYPERLINK("https://steamcommunity.com/profiles/76561198202565006/recommended/4178020/#review_230787139", "76561198202565006")</f>
        <v/>
      </c>
      <c r="B95" t="inlineStr">
        <is>
          <t>I'm so sorry grandpa, It had to be done.</t>
        </is>
      </c>
      <c r="C95" t="inlineStr">
        <is>
          <t>Положительный</t>
        </is>
      </c>
      <c r="D95" t="inlineStr">
        <is>
          <t>english</t>
        </is>
      </c>
      <c r="E95" t="inlineStr">
        <is>
          <t>2026-07-19 02:07:39</t>
        </is>
      </c>
      <c r="F95" t="n">
        <v>1</v>
      </c>
      <c r="G95" t="n">
        <v>0</v>
      </c>
      <c r="H95" t="n">
        <v>0</v>
      </c>
      <c r="I95" t="n">
        <v>12</v>
      </c>
      <c r="J95" t="n">
        <v>8.529999999999999</v>
      </c>
    </row>
    <row r="96">
      <c r="A96">
        <f>HYPERLINK("https://steamcommunity.com/profiles/76561198670768392/recommended/4178020/#review_231088495", "76561198670768392")</f>
        <v/>
      </c>
      <c r="B96" t="inlineStr">
        <is>
          <t>Idle Game disguised as a Fishing Game. Not for me.</t>
        </is>
      </c>
      <c r="C96" t="inlineStr">
        <is>
          <t>Отрицательный</t>
        </is>
      </c>
      <c r="D96" t="inlineStr">
        <is>
          <t>english</t>
        </is>
      </c>
      <c r="E96" t="inlineStr">
        <is>
          <t>2026-07-23 06:36:25</t>
        </is>
      </c>
      <c r="F96" t="n">
        <v>1</v>
      </c>
      <c r="G96" t="n">
        <v>0</v>
      </c>
      <c r="H96" t="n">
        <v>0</v>
      </c>
      <c r="I96" t="n">
        <v>1</v>
      </c>
      <c r="J96" t="n">
        <v>4.4</v>
      </c>
    </row>
    <row r="97">
      <c r="A97">
        <f>HYPERLINK("https://steamcommunity.com/profiles/76561198403677229/recommended/4178020/#review_230990584", "76561198403677229")</f>
        <v/>
      </c>
      <c r="B97" t="inlineStr">
        <is>
          <t>amazig game! love the artstyle</t>
        </is>
      </c>
      <c r="C97" t="inlineStr">
        <is>
          <t>Положительный</t>
        </is>
      </c>
      <c r="D97" t="inlineStr">
        <is>
          <t>english</t>
        </is>
      </c>
      <c r="E97" t="inlineStr">
        <is>
          <t>2026-07-21 21:55:41</t>
        </is>
      </c>
      <c r="F97" t="n">
        <v>0</v>
      </c>
      <c r="G97" t="n">
        <v>0</v>
      </c>
      <c r="H97" t="n">
        <v>0</v>
      </c>
      <c r="I97" t="n">
        <v>17</v>
      </c>
      <c r="J97" t="n">
        <v>1.45</v>
      </c>
    </row>
    <row r="98">
      <c r="A98">
        <f>HYPERLINK("https://steamcommunity.com/profiles/76561198129339064/recommended/4178020/#review_231165661", "76561198129339064")</f>
        <v/>
      </c>
      <c r="B98" t="inlineStr">
        <is>
          <t>decent game. For a day or 2</t>
        </is>
      </c>
      <c r="C98" t="inlineStr">
        <is>
          <t>Положительный</t>
        </is>
      </c>
      <c r="D98" t="inlineStr">
        <is>
          <t>greek</t>
        </is>
      </c>
      <c r="E98" t="inlineStr">
        <is>
          <t>2026-07-24 06:31:33</t>
        </is>
      </c>
      <c r="F98" t="n">
        <v>0</v>
      </c>
      <c r="G98" t="n">
        <v>0</v>
      </c>
      <c r="H98" t="n">
        <v>0</v>
      </c>
      <c r="I98" t="n">
        <v>19</v>
      </c>
      <c r="J98" t="n">
        <v>10.97</v>
      </c>
    </row>
    <row r="99">
      <c r="A99">
        <f>HYPERLINK("https://steamcommunity.com/profiles/76561198979156444/recommended/4178020/#review_230904965", "76561198979156444")</f>
        <v/>
      </c>
      <c r="B99" t="inlineStr">
        <is>
          <t>Good fishing game</t>
        </is>
      </c>
      <c r="C99" t="inlineStr">
        <is>
          <t>Положительный</t>
        </is>
      </c>
      <c r="D99" t="inlineStr">
        <is>
          <t>english</t>
        </is>
      </c>
      <c r="E99" t="inlineStr">
        <is>
          <t>2026-07-20 18:08:29</t>
        </is>
      </c>
      <c r="F99" t="n">
        <v>0</v>
      </c>
      <c r="G99" t="n">
        <v>0</v>
      </c>
      <c r="H99" t="n">
        <v>54</v>
      </c>
      <c r="I99" t="n">
        <v>10</v>
      </c>
      <c r="J99" t="n">
        <v>12.62</v>
      </c>
    </row>
    <row r="100">
      <c r="A100">
        <f>HYPERLINK("https://steamcommunity.com/profiles/76561198881295457/recommended/4178020/#review_230939313", "76561198881295457")</f>
        <v/>
      </c>
      <c r="B100" t="inlineStr">
        <is>
          <t>Good game! :D</t>
        </is>
      </c>
      <c r="C100" t="inlineStr">
        <is>
          <t>Положительный</t>
        </is>
      </c>
      <c r="D100" t="inlineStr">
        <is>
          <t>norwegian</t>
        </is>
      </c>
      <c r="E100" t="inlineStr">
        <is>
          <t>2026-07-21 03:38:47</t>
        </is>
      </c>
      <c r="F100" t="n">
        <v>0</v>
      </c>
      <c r="G100" t="n">
        <v>0</v>
      </c>
      <c r="H100" t="n">
        <v>0</v>
      </c>
      <c r="I100" t="n">
        <v>2</v>
      </c>
      <c r="J100" t="n">
        <v>41.03</v>
      </c>
    </row>
    <row r="101">
      <c r="A101">
        <f>HYPERLINK("https://steamcommunity.com/profiles/76561198715136228/recommended/4178020/#review_231312836", "76561198715136228")</f>
        <v/>
      </c>
      <c r="B101" t="inlineStr">
        <is>
          <t>amazing game</t>
        </is>
      </c>
      <c r="C101" t="inlineStr">
        <is>
          <t>Положительный</t>
        </is>
      </c>
      <c r="D101" t="inlineStr">
        <is>
          <t>english</t>
        </is>
      </c>
      <c r="E101" t="inlineStr">
        <is>
          <t>2026-07-26 02:58:56</t>
        </is>
      </c>
      <c r="F101" t="n">
        <v>0</v>
      </c>
      <c r="G101" t="n">
        <v>0</v>
      </c>
      <c r="H101" t="n">
        <v>0</v>
      </c>
      <c r="I101" t="n">
        <v>5</v>
      </c>
      <c r="J101" t="n">
        <v>0.48</v>
      </c>
    </row>
    <row r="102">
      <c r="A102">
        <f>HYPERLINK("https://steamcommunity.com/profiles/76561197996523562/recommended/4178020/#review_230875175", "76561197996523562")</f>
        <v/>
      </c>
      <c r="B102" t="inlineStr">
        <is>
          <t>Its fun! quick, incremental</t>
        </is>
      </c>
      <c r="C102" t="inlineStr">
        <is>
          <t>Положительный</t>
        </is>
      </c>
      <c r="D102" t="inlineStr">
        <is>
          <t>english</t>
        </is>
      </c>
      <c r="E102" t="inlineStr">
        <is>
          <t>2026-07-20 05:50:00</t>
        </is>
      </c>
      <c r="F102" t="n">
        <v>0</v>
      </c>
      <c r="G102" t="n">
        <v>0</v>
      </c>
      <c r="H102" t="n">
        <v>466</v>
      </c>
      <c r="I102" t="n">
        <v>2</v>
      </c>
      <c r="J102" t="n">
        <v>12.65</v>
      </c>
    </row>
    <row r="103">
      <c r="A103">
        <f>HYPERLINK("https://steamcommunity.com/profiles/76561197996760713/recommended/4178020/#review_231339375", "76561197996760713")</f>
        <v/>
      </c>
      <c r="B103" t="inlineStr">
        <is>
          <t>Х*ета , не интересная .</t>
        </is>
      </c>
      <c r="C103" t="inlineStr">
        <is>
          <t>Отрицательный</t>
        </is>
      </c>
      <c r="D103" t="inlineStr">
        <is>
          <t>russian</t>
        </is>
      </c>
      <c r="E103" t="inlineStr">
        <is>
          <t>2026-07-26 12:13:22</t>
        </is>
      </c>
      <c r="F103" t="n">
        <v>0</v>
      </c>
      <c r="G103" t="n">
        <v>0</v>
      </c>
      <c r="H103" t="n">
        <v>786</v>
      </c>
      <c r="I103" t="n">
        <v>62</v>
      </c>
      <c r="J103" t="n">
        <v>12.92</v>
      </c>
    </row>
    <row r="104">
      <c r="A104">
        <f>HYPERLINK("https://steamcommunity.com/profiles/76561198691766481/recommended/4178020/#review_230795700", "76561198691766481")</f>
        <v/>
      </c>
      <c r="B104" t="inlineStr">
        <is>
          <t>has cool mini games</t>
        </is>
      </c>
      <c r="C104" t="inlineStr">
        <is>
          <t>Положительный</t>
        </is>
      </c>
      <c r="D104" t="inlineStr">
        <is>
          <t>english</t>
        </is>
      </c>
      <c r="E104" t="inlineStr">
        <is>
          <t>2026-07-19 04:47:27</t>
        </is>
      </c>
      <c r="F104" t="n">
        <v>0</v>
      </c>
      <c r="G104" t="n">
        <v>0</v>
      </c>
      <c r="H104" t="n">
        <v>0</v>
      </c>
      <c r="I104" t="n">
        <v>1</v>
      </c>
      <c r="J104" t="n">
        <v>9.699999999999999</v>
      </c>
    </row>
    <row r="105">
      <c r="A105">
        <f>HYPERLINK("https://steamcommunity.com/profiles/76561198769980189/recommended/4178020/#review_230872489", "76561198769980189")</f>
        <v/>
      </c>
      <c r="B105" t="inlineStr">
        <is>
          <t>i would love to see a killgrandpa% speedrun</t>
        </is>
      </c>
      <c r="C105" t="inlineStr">
        <is>
          <t>Положительный</t>
        </is>
      </c>
      <c r="D105" t="inlineStr">
        <is>
          <t>english</t>
        </is>
      </c>
      <c r="E105" t="inlineStr">
        <is>
          <t>2026-07-20 04:51:46</t>
        </is>
      </c>
      <c r="F105" t="n">
        <v>0</v>
      </c>
      <c r="G105" t="n">
        <v>0</v>
      </c>
      <c r="H105" t="n">
        <v>0</v>
      </c>
      <c r="I105" t="n">
        <v>3</v>
      </c>
      <c r="J105" t="n">
        <v>1.08</v>
      </c>
    </row>
    <row r="106">
      <c r="A106">
        <f>HYPERLINK("https://steamcommunity.com/profiles/76561199202011973/recommended/4178020/#review_230713131", "76561199202011973")</f>
        <v/>
      </c>
      <c r="B106" t="inlineStr">
        <is>
          <t>i love fishing :3</t>
        </is>
      </c>
      <c r="C106" t="inlineStr">
        <is>
          <t>Положительный</t>
        </is>
      </c>
      <c r="D106" t="inlineStr">
        <is>
          <t>english</t>
        </is>
      </c>
      <c r="E106" t="inlineStr">
        <is>
          <t>2026-07-18 03:06:22</t>
        </is>
      </c>
      <c r="F106" t="n">
        <v>5</v>
      </c>
      <c r="G106" t="n">
        <v>0</v>
      </c>
      <c r="H106" t="n">
        <v>0</v>
      </c>
      <c r="I106" t="n">
        <v>1</v>
      </c>
      <c r="J106" t="n">
        <v>13.77</v>
      </c>
    </row>
    <row r="107">
      <c r="A107">
        <f>HYPERLINK("https://steamcommunity.com/profiles/76561198012683582/recommended/4178020/#review_231463666", "76561198012683582")</f>
        <v/>
      </c>
      <c r="B107" t="inlineStr">
        <is>
          <t>I was lured in</t>
        </is>
      </c>
      <c r="C107" t="inlineStr">
        <is>
          <t>Положительный</t>
        </is>
      </c>
      <c r="D107" t="inlineStr">
        <is>
          <t>french</t>
        </is>
      </c>
      <c r="E107" t="inlineStr">
        <is>
          <t>2026-07-28 00:45:59</t>
        </is>
      </c>
      <c r="F107" t="n">
        <v>0</v>
      </c>
      <c r="G107" t="n">
        <v>0</v>
      </c>
      <c r="H107" t="n">
        <v>162</v>
      </c>
      <c r="I107" t="n">
        <v>30</v>
      </c>
      <c r="J107" t="n">
        <v>4.13</v>
      </c>
    </row>
    <row r="108">
      <c r="A108">
        <f>HYPERLINK("https://steamcommunity.com/profiles/76561199056365864/recommended/4178020/#review_230796160", "76561199056365864")</f>
        <v/>
      </c>
      <c r="B108" t="inlineStr">
        <is>
          <t>Immediately kill grandpa :D</t>
        </is>
      </c>
      <c r="C108" t="inlineStr">
        <is>
          <t>Положительный</t>
        </is>
      </c>
      <c r="D108" t="inlineStr">
        <is>
          <t>english</t>
        </is>
      </c>
      <c r="E108" t="inlineStr">
        <is>
          <t>2026-07-19 04:57:12</t>
        </is>
      </c>
      <c r="F108" t="n">
        <v>0</v>
      </c>
      <c r="G108" t="n">
        <v>1</v>
      </c>
      <c r="H108" t="n">
        <v>0</v>
      </c>
      <c r="I108" t="n">
        <v>20</v>
      </c>
      <c r="J108" t="n">
        <v>0.63</v>
      </c>
    </row>
    <row r="109">
      <c r="A109">
        <f>HYPERLINK("https://steamcommunity.com/profiles/76561198168832732/recommended/4178020/#review_230833196", "76561198168832732")</f>
        <v/>
      </c>
      <c r="B109" t="inlineStr">
        <is>
          <t>Love the game</t>
        </is>
      </c>
      <c r="C109" t="inlineStr">
        <is>
          <t>Положительный</t>
        </is>
      </c>
      <c r="D109" t="inlineStr">
        <is>
          <t>english</t>
        </is>
      </c>
      <c r="E109" t="inlineStr">
        <is>
          <t>2026-07-19 18:00:43</t>
        </is>
      </c>
      <c r="F109" t="n">
        <v>0</v>
      </c>
      <c r="G109" t="n">
        <v>0</v>
      </c>
      <c r="H109" t="n">
        <v>45</v>
      </c>
      <c r="I109" t="n">
        <v>3</v>
      </c>
      <c r="J109" t="n">
        <v>4.23</v>
      </c>
    </row>
    <row r="110">
      <c r="A110">
        <f>HYPERLINK("https://steamcommunity.com/profiles/76561198694516861/recommended/4178020/#review_230717658", "76561198694516861")</f>
        <v/>
      </c>
      <c r="B110" t="inlineStr">
        <is>
          <t>Delightful</t>
        </is>
      </c>
      <c r="C110" t="inlineStr">
        <is>
          <t>Положительный</t>
        </is>
      </c>
      <c r="D110" t="inlineStr">
        <is>
          <t>english</t>
        </is>
      </c>
      <c r="E110" t="inlineStr">
        <is>
          <t>2026-07-18 04:31:51</t>
        </is>
      </c>
      <c r="F110" t="n">
        <v>1</v>
      </c>
      <c r="G110" t="n">
        <v>0</v>
      </c>
      <c r="H110" t="n">
        <v>0</v>
      </c>
      <c r="I110" t="n">
        <v>10</v>
      </c>
      <c r="J110" t="n">
        <v>0.85</v>
      </c>
    </row>
    <row r="111">
      <c r="A111">
        <f>HYPERLINK("https://steamcommunity.com/profiles/76561199057315256/recommended/4178020/#review_231131165", "76561199057315256")</f>
        <v/>
      </c>
      <c r="B111" t="inlineStr">
        <is>
          <t>FISH</t>
        </is>
      </c>
      <c r="C111" t="inlineStr">
        <is>
          <t>Положительный</t>
        </is>
      </c>
      <c r="D111" t="inlineStr">
        <is>
          <t>english</t>
        </is>
      </c>
      <c r="E111" t="inlineStr">
        <is>
          <t>2026-07-23 21:11:51</t>
        </is>
      </c>
      <c r="F111" t="n">
        <v>0</v>
      </c>
      <c r="G111" t="n">
        <v>0</v>
      </c>
      <c r="H111" t="n">
        <v>0</v>
      </c>
      <c r="I111" t="n">
        <v>27</v>
      </c>
      <c r="J111" t="n">
        <v>5.5</v>
      </c>
    </row>
    <row r="112">
      <c r="A112">
        <f>HYPERLINK("https://steamcommunity.com/profiles/76561198101227723/recommended/4178020/#review_230811280", "76561198101227723")</f>
        <v/>
      </c>
      <c r="B112" t="inlineStr">
        <is>
          <t>Chillski🥶</t>
        </is>
      </c>
      <c r="C112" t="inlineStr">
        <is>
          <t>Положительный</t>
        </is>
      </c>
      <c r="D112" t="inlineStr">
        <is>
          <t>english</t>
        </is>
      </c>
      <c r="E112" t="inlineStr">
        <is>
          <t>2026-07-19 10:31:37</t>
        </is>
      </c>
      <c r="F112" t="n">
        <v>0</v>
      </c>
      <c r="G112" t="n">
        <v>0</v>
      </c>
      <c r="H112" t="n">
        <v>99</v>
      </c>
      <c r="I112" t="n">
        <v>6</v>
      </c>
      <c r="J112" t="n">
        <v>2.02</v>
      </c>
    </row>
    <row r="113">
      <c r="A113">
        <f>HYPERLINK("https://steamcommunity.com/profiles/76561199066816908/recommended/4178020/#review_230868941", "76561199066816908")</f>
        <v/>
      </c>
      <c r="B113" t="inlineStr">
        <is>
          <t>Gub</t>
        </is>
      </c>
      <c r="C113" t="inlineStr">
        <is>
          <t>Положительный</t>
        </is>
      </c>
      <c r="D113" t="inlineStr">
        <is>
          <t>english</t>
        </is>
      </c>
      <c r="E113" t="inlineStr">
        <is>
          <t>2026-07-20 03:33:33</t>
        </is>
      </c>
      <c r="F113" t="n">
        <v>0</v>
      </c>
      <c r="G113" t="n">
        <v>0</v>
      </c>
      <c r="H113" t="n">
        <v>122</v>
      </c>
      <c r="I113" t="n">
        <v>94</v>
      </c>
      <c r="J113" t="n">
        <v>5.02</v>
      </c>
    </row>
    <row r="114">
      <c r="A114">
        <f>HYPERLINK("https://steamcommunity.com/profiles/76561198819351977/recommended/4178020/#review_231304081", "76561198819351977")</f>
        <v/>
      </c>
      <c r="B114" t="inlineStr">
        <is>
          <t>fish w</t>
        </is>
      </c>
      <c r="C114" t="inlineStr">
        <is>
          <t>Положительный</t>
        </is>
      </c>
      <c r="D114" t="inlineStr">
        <is>
          <t>english</t>
        </is>
      </c>
      <c r="E114" t="inlineStr">
        <is>
          <t>2026-07-26 00:36:06</t>
        </is>
      </c>
      <c r="F114" t="n">
        <v>0</v>
      </c>
      <c r="G114" t="n">
        <v>0</v>
      </c>
      <c r="H114" t="n">
        <v>0</v>
      </c>
      <c r="I114" t="n">
        <v>7</v>
      </c>
      <c r="J114" t="n">
        <v>8.279999999999999</v>
      </c>
    </row>
    <row r="115">
      <c r="A115">
        <f>HYPERLINK("https://steamcommunity.com/profiles/76561198359619395/recommended/4178020/#review_231250619", "76561198359619395")</f>
        <v/>
      </c>
      <c r="B115" t="inlineStr">
        <is>
          <t>.</t>
        </is>
      </c>
      <c r="C115" t="inlineStr">
        <is>
          <t>Положительный</t>
        </is>
      </c>
      <c r="D115" t="inlineStr">
        <is>
          <t>brazilian</t>
        </is>
      </c>
      <c r="E115" t="inlineStr">
        <is>
          <t>2026-07-25 08:33:16</t>
        </is>
      </c>
      <c r="F115" t="n">
        <v>0</v>
      </c>
      <c r="G115" t="n">
        <v>0</v>
      </c>
      <c r="H115" t="n">
        <v>0</v>
      </c>
      <c r="I115" t="n">
        <v>13</v>
      </c>
      <c r="J115" t="n">
        <v>5.87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11" customWidth="1" min="1" max="1"/>
    <col width="16" customWidth="1" min="2" max="2"/>
    <col width="15" customWidth="1" min="3" max="3"/>
    <col width="15" customWidth="1" min="4" max="4"/>
    <col width="19" customWidth="1" min="5" max="5"/>
    <col width="26" customWidth="1" min="6" max="6"/>
    <col width="26" customWidth="1" min="7" max="7"/>
  </cols>
  <sheetData>
    <row r="1">
      <c r="A1" t="inlineStr">
        <is>
          <t>Язык</t>
        </is>
      </c>
      <c r="B1" t="inlineStr">
        <is>
          <t>Кол-во отзывов</t>
        </is>
      </c>
      <c r="C1" t="inlineStr">
        <is>
          <t>Положительные</t>
        </is>
      </c>
      <c r="D1" t="inlineStr">
        <is>
          <t>Отрицательные</t>
        </is>
      </c>
      <c r="E1" t="inlineStr">
        <is>
          <t>% от общего числа</t>
        </is>
      </c>
      <c r="F1" t="inlineStr">
        <is>
          <t>% положительных от языка</t>
        </is>
      </c>
      <c r="G1" t="inlineStr">
        <is>
          <t>% отрицательных от языка</t>
        </is>
      </c>
    </row>
    <row r="2">
      <c r="A2" t="inlineStr">
        <is>
          <t>english</t>
        </is>
      </c>
      <c r="B2" t="n">
        <v>85</v>
      </c>
      <c r="C2" t="n">
        <v>74</v>
      </c>
      <c r="D2" t="n">
        <v>11</v>
      </c>
      <c r="E2" t="n">
        <v>74.56</v>
      </c>
      <c r="F2" t="n">
        <v>87.06</v>
      </c>
      <c r="G2" t="n">
        <v>12.94</v>
      </c>
    </row>
    <row r="3">
      <c r="A3" t="inlineStr">
        <is>
          <t>koreana</t>
        </is>
      </c>
      <c r="B3" t="n">
        <v>7</v>
      </c>
      <c r="C3" t="n">
        <v>6</v>
      </c>
      <c r="D3" t="n">
        <v>1</v>
      </c>
      <c r="E3" t="n">
        <v>6.14</v>
      </c>
      <c r="F3" t="n">
        <v>85.70999999999999</v>
      </c>
      <c r="G3" t="n">
        <v>14.29</v>
      </c>
    </row>
    <row r="4">
      <c r="A4" t="inlineStr">
        <is>
          <t>russian</t>
        </is>
      </c>
      <c r="B4" t="n">
        <v>6</v>
      </c>
      <c r="C4" t="n">
        <v>3</v>
      </c>
      <c r="D4" t="n">
        <v>3</v>
      </c>
      <c r="E4" t="n">
        <v>5.26</v>
      </c>
      <c r="F4" t="n">
        <v>50</v>
      </c>
      <c r="G4" t="n">
        <v>50</v>
      </c>
    </row>
    <row r="5">
      <c r="A5" t="inlineStr">
        <is>
          <t>german</t>
        </is>
      </c>
      <c r="B5" t="n">
        <v>4</v>
      </c>
      <c r="C5" t="n">
        <v>3</v>
      </c>
      <c r="D5" t="n">
        <v>1</v>
      </c>
      <c r="E5" t="n">
        <v>3.51</v>
      </c>
      <c r="F5" t="n">
        <v>75</v>
      </c>
      <c r="G5" t="n">
        <v>25</v>
      </c>
    </row>
    <row r="6">
      <c r="A6" t="inlineStr">
        <is>
          <t>ukrainian</t>
        </is>
      </c>
      <c r="B6" t="n">
        <v>2</v>
      </c>
      <c r="C6" t="n">
        <v>1</v>
      </c>
      <c r="D6" t="n">
        <v>1</v>
      </c>
      <c r="E6" t="n">
        <v>1.75</v>
      </c>
      <c r="F6" t="n">
        <v>50</v>
      </c>
      <c r="G6" t="n">
        <v>50</v>
      </c>
    </row>
    <row r="7">
      <c r="A7" t="inlineStr">
        <is>
          <t>schinese</t>
        </is>
      </c>
      <c r="B7" t="n">
        <v>2</v>
      </c>
      <c r="C7" t="n">
        <v>0</v>
      </c>
      <c r="D7" t="n">
        <v>2</v>
      </c>
      <c r="E7" t="n">
        <v>1.75</v>
      </c>
      <c r="F7" t="n">
        <v>0</v>
      </c>
      <c r="G7" t="n">
        <v>100</v>
      </c>
    </row>
    <row r="8">
      <c r="A8" t="inlineStr">
        <is>
          <t>french</t>
        </is>
      </c>
      <c r="B8" t="n">
        <v>2</v>
      </c>
      <c r="C8" t="n">
        <v>1</v>
      </c>
      <c r="D8" t="n">
        <v>1</v>
      </c>
      <c r="E8" t="n">
        <v>1.75</v>
      </c>
      <c r="F8" t="n">
        <v>50</v>
      </c>
      <c r="G8" t="n">
        <v>50</v>
      </c>
    </row>
    <row r="9">
      <c r="A9" t="inlineStr">
        <is>
          <t>japanese</t>
        </is>
      </c>
      <c r="B9" t="n">
        <v>2</v>
      </c>
      <c r="C9" t="n">
        <v>2</v>
      </c>
      <c r="D9" t="n">
        <v>0</v>
      </c>
      <c r="E9" t="n">
        <v>1.75</v>
      </c>
      <c r="F9" t="n">
        <v>100</v>
      </c>
      <c r="G9" t="n">
        <v>0</v>
      </c>
    </row>
    <row r="10">
      <c r="A10" t="inlineStr">
        <is>
          <t>brazilian</t>
        </is>
      </c>
      <c r="B10" t="n">
        <v>1</v>
      </c>
      <c r="C10" t="n">
        <v>1</v>
      </c>
      <c r="D10" t="n">
        <v>0</v>
      </c>
      <c r="E10" t="n">
        <v>0.88</v>
      </c>
      <c r="F10" t="n">
        <v>100</v>
      </c>
      <c r="G10" t="n">
        <v>0</v>
      </c>
    </row>
    <row r="11">
      <c r="A11" t="inlineStr">
        <is>
          <t>dutch</t>
        </is>
      </c>
      <c r="B11" t="n">
        <v>1</v>
      </c>
      <c r="C11" t="n">
        <v>1</v>
      </c>
      <c r="D11" t="n">
        <v>0</v>
      </c>
      <c r="E11" t="n">
        <v>0.88</v>
      </c>
      <c r="F11" t="n">
        <v>100</v>
      </c>
      <c r="G11" t="n">
        <v>0</v>
      </c>
    </row>
    <row r="12">
      <c r="A12" t="inlineStr">
        <is>
          <t>greek</t>
        </is>
      </c>
      <c r="B12" t="n">
        <v>1</v>
      </c>
      <c r="C12" t="n">
        <v>1</v>
      </c>
      <c r="D12" t="n">
        <v>0</v>
      </c>
      <c r="E12" t="n">
        <v>0.88</v>
      </c>
      <c r="F12" t="n">
        <v>100</v>
      </c>
      <c r="G12" t="n">
        <v>0</v>
      </c>
    </row>
    <row r="13">
      <c r="A13" t="inlineStr">
        <is>
          <t>norwegian</t>
        </is>
      </c>
      <c r="B13" t="n">
        <v>1</v>
      </c>
      <c r="C13" t="n">
        <v>1</v>
      </c>
      <c r="D13" t="n">
        <v>0</v>
      </c>
      <c r="E13" t="n">
        <v>0.88</v>
      </c>
      <c r="F13" t="n">
        <v>100</v>
      </c>
      <c r="G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2026-07-28T01:52:34Z</dcterms:created>
  <dcterms:modified xsi:type="dcterms:W3CDTF">2026-07-28T01:52:34Z</dcterms:modified>
</cp:coreProperties>
</file>